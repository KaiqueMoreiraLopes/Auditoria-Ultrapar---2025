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que.lopes\Documents\ULTRAPAR\"/>
    </mc:Choice>
  </mc:AlternateContent>
  <xr:revisionPtr revIDLastSave="0" documentId="13_ncr:1_{F0068A47-8CF2-4ACE-B8CA-20703CCCA3E3}" xr6:coauthVersionLast="47" xr6:coauthVersionMax="47" xr10:uidLastSave="{00000000-0000-0000-0000-000000000000}"/>
  <bookViews>
    <workbookView xWindow="28680" yWindow="-120" windowWidth="29040" windowHeight="15720" activeTab="3" xr2:uid="{9E3CE5DC-4AC0-4678-B1AC-2BF4A3DDDD0E}"/>
  </bookViews>
  <sheets>
    <sheet name="1T25" sheetId="1" r:id="rId1"/>
    <sheet name="2T25" sheetId="2" r:id="rId2"/>
    <sheet name="3T25" sheetId="3" r:id="rId3"/>
    <sheet name="4T25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9" i="4" l="1"/>
  <c r="M39" i="4"/>
  <c r="L39" i="4"/>
  <c r="K39" i="4"/>
  <c r="J39" i="4"/>
  <c r="I39" i="4"/>
  <c r="G39" i="4"/>
  <c r="G43" i="4" s="1"/>
  <c r="N17" i="4"/>
  <c r="N43" i="4" s="1"/>
  <c r="M17" i="4"/>
  <c r="M43" i="4" s="1"/>
  <c r="L17" i="4"/>
  <c r="L43" i="4" s="1"/>
  <c r="K17" i="4"/>
  <c r="K43" i="4" s="1"/>
  <c r="J17" i="4"/>
  <c r="J43" i="4" s="1"/>
  <c r="I17" i="4"/>
  <c r="I43" i="4" s="1"/>
  <c r="G17" i="4"/>
  <c r="N37" i="3"/>
  <c r="M37" i="3"/>
  <c r="L37" i="3"/>
  <c r="K37" i="3"/>
  <c r="J37" i="3"/>
  <c r="I37" i="3"/>
  <c r="G37" i="3"/>
  <c r="G41" i="3" s="1"/>
  <c r="N17" i="3"/>
  <c r="N41" i="3" s="1"/>
  <c r="M17" i="3"/>
  <c r="M41" i="3" s="1"/>
  <c r="L17" i="3"/>
  <c r="L41" i="3" s="1"/>
  <c r="K17" i="3"/>
  <c r="K41" i="3" s="1"/>
  <c r="J17" i="3"/>
  <c r="J41" i="3" s="1"/>
  <c r="I17" i="3"/>
  <c r="I41" i="3" s="1"/>
  <c r="G17" i="3"/>
  <c r="N41" i="2"/>
  <c r="M41" i="2"/>
  <c r="L41" i="2"/>
  <c r="K41" i="2"/>
  <c r="J41" i="2"/>
  <c r="I41" i="2"/>
  <c r="G37" i="2"/>
  <c r="G41" i="2" s="1"/>
  <c r="N30" i="1"/>
  <c r="M30" i="1"/>
  <c r="L30" i="1"/>
  <c r="K30" i="1"/>
  <c r="J30" i="1"/>
  <c r="I30" i="1"/>
  <c r="G30" i="1"/>
  <c r="G34" i="1" s="1"/>
  <c r="N14" i="1"/>
  <c r="N34" i="1" s="1"/>
  <c r="M14" i="1"/>
  <c r="M34" i="1" s="1"/>
  <c r="L14" i="1"/>
  <c r="L34" i="1" s="1"/>
  <c r="K14" i="1"/>
  <c r="K34" i="1" s="1"/>
  <c r="J14" i="1"/>
  <c r="J34" i="1" s="1"/>
  <c r="I14" i="1"/>
  <c r="I34" i="1" s="1"/>
  <c r="G14" i="1"/>
</calcChain>
</file>

<file path=xl/sharedStrings.xml><?xml version="1.0" encoding="utf-8"?>
<sst xmlns="http://schemas.openxmlformats.org/spreadsheetml/2006/main" count="357" uniqueCount="116">
  <si>
    <t>Perfil da dívida (R$ milhões, exceto onde indicado)</t>
  </si>
  <si>
    <t>Índice/ Moeda</t>
  </si>
  <si>
    <t>Encargos financeiros médios ponderados</t>
  </si>
  <si>
    <t>Encargos médios ponderado (Swap)</t>
  </si>
  <si>
    <t>Saldo</t>
  </si>
  <si>
    <t>Vencimento</t>
  </si>
  <si>
    <t>Perfil de amortização da dívida (em meses)</t>
  </si>
  <si>
    <t>até 12</t>
  </si>
  <si>
    <t>de 12 a 24</t>
  </si>
  <si>
    <t>de 24 a 36</t>
  </si>
  <si>
    <t>de 36 a 48</t>
  </si>
  <si>
    <t>de 48 a 60</t>
  </si>
  <si>
    <t>&gt; 60</t>
  </si>
  <si>
    <t>Moeda Estrangeira</t>
  </si>
  <si>
    <t>Bond</t>
  </si>
  <si>
    <t>US$</t>
  </si>
  <si>
    <t>141,7%  do DI¹</t>
  </si>
  <si>
    <t>2026 a 2029</t>
  </si>
  <si>
    <t>Financiamento 4131 (Pré-fixado)</t>
  </si>
  <si>
    <t>106,1%  do DI</t>
  </si>
  <si>
    <t>2025 a 2026</t>
  </si>
  <si>
    <t>Debêntures Cambiais</t>
  </si>
  <si>
    <t>101,7%  do DI</t>
  </si>
  <si>
    <t>US$ + SOFR</t>
  </si>
  <si>
    <t>103,3%  do DI</t>
  </si>
  <si>
    <t>Total Moeda Estrangeira</t>
  </si>
  <si>
    <t>Moeda Nacional</t>
  </si>
  <si>
    <t>CRA - IPCA</t>
  </si>
  <si>
    <t>IPCA</t>
  </si>
  <si>
    <t>103,1%  do DI</t>
  </si>
  <si>
    <t>2025 a 2032</t>
  </si>
  <si>
    <t>CCB</t>
  </si>
  <si>
    <t>CDI</t>
  </si>
  <si>
    <t>n/a</t>
  </si>
  <si>
    <t>Debêntures - CDI+</t>
  </si>
  <si>
    <t>CDI + R$</t>
  </si>
  <si>
    <t>2027 a 2029</t>
  </si>
  <si>
    <t>Debêntures - IPCA</t>
  </si>
  <si>
    <t>111,4%  do DI</t>
  </si>
  <si>
    <t>CRA - Pré-fixado</t>
  </si>
  <si>
    <t>R$</t>
  </si>
  <si>
    <t>104,3%  do DI</t>
  </si>
  <si>
    <t>CDCA - CDI +</t>
  </si>
  <si>
    <t>CRA - CDI +</t>
  </si>
  <si>
    <t>CDCA</t>
  </si>
  <si>
    <t>2026 a 2027</t>
  </si>
  <si>
    <t>Debêntures - IPCA (sem hedge)</t>
  </si>
  <si>
    <t>2032 a 2034</t>
  </si>
  <si>
    <t>FINEP</t>
  </si>
  <si>
    <t>TJLP</t>
  </si>
  <si>
    <t>Fundo Constitucional</t>
  </si>
  <si>
    <t>69,5%  do DI</t>
  </si>
  <si>
    <t>2028 a 2041</t>
  </si>
  <si>
    <t>Total Moeda Nacional</t>
  </si>
  <si>
    <t>Instrumentos de proteção cambial e de juros</t>
  </si>
  <si>
    <t>Total Passivo</t>
  </si>
  <si>
    <t>¹Considera instrumento de proteção para o principal a 52,5% do DI e para os juros DI menos 1,4% para um valor nocional de US$ 300 milhões. Não inclui o resultado positivo da estratégia de hedge natural por meio de aplicações financeiras em US$.</t>
  </si>
  <si>
    <t>jul/25</t>
  </si>
  <si>
    <t>de 36 a 49</t>
  </si>
  <si>
    <t>de 49 a 60</t>
  </si>
  <si>
    <t>142,5%  do DI¹</t>
  </si>
  <si>
    <t>Bond Hidrovias</t>
  </si>
  <si>
    <t>CDI + 1,635%²</t>
  </si>
  <si>
    <t>Financiamento 4131 - Dólar</t>
  </si>
  <si>
    <t>SOFR</t>
  </si>
  <si>
    <t>102,9%  do DI</t>
  </si>
  <si>
    <t>106,2%  do DI</t>
  </si>
  <si>
    <t>EU$</t>
  </si>
  <si>
    <t>104,0% do DI</t>
  </si>
  <si>
    <t>BNDES</t>
  </si>
  <si>
    <t>2025 a 2031</t>
  </si>
  <si>
    <t>2026 a 2031</t>
  </si>
  <si>
    <t>102,8%  do DI</t>
  </si>
  <si>
    <t>2028 a 2031</t>
  </si>
  <si>
    <t>Fundo Constitucional - FNE</t>
  </si>
  <si>
    <t>Fundo Constitucional - FNO</t>
  </si>
  <si>
    <t>2028 a 2037</t>
  </si>
  <si>
    <t>2025 a 2040</t>
  </si>
  <si>
    <t>Financiamento 4131</t>
  </si>
  <si>
    <t>106,6% do DI</t>
  </si>
  <si>
    <t>²Considera instrumento de proteção para principal e juros a DI + 1,6% para um valor nocional de US$ 50 milhões</t>
  </si>
  <si>
    <t>52,5%  do DI¹</t>
  </si>
  <si>
    <t>103,4%  do DI</t>
  </si>
  <si>
    <t>2025 a 46464</t>
  </si>
  <si>
    <t>104,4% do DI</t>
  </si>
  <si>
    <t>102,5%  do DI</t>
  </si>
  <si>
    <t>Fundo Clima</t>
  </si>
  <si>
    <t>Financiamento 4131 - R$</t>
  </si>
  <si>
    <t>2027 a 2027</t>
  </si>
  <si>
    <t>Bond¹</t>
  </si>
  <si>
    <t>142,61% do DI</t>
  </si>
  <si>
    <t>103,8 % do DI</t>
  </si>
  <si>
    <t>Financiamento 4131 - Dólar + SOFR</t>
  </si>
  <si>
    <t>103,4 % do DI</t>
  </si>
  <si>
    <t>Bond Hidrovias²</t>
  </si>
  <si>
    <t>CDI + 1,635%</t>
  </si>
  <si>
    <t>Debêntures Cambiais - Euro</t>
  </si>
  <si>
    <t>104,4 % do DI</t>
  </si>
  <si>
    <t>Debêntures Cambiais - Dólar</t>
  </si>
  <si>
    <t>101,7 % do DI</t>
  </si>
  <si>
    <t>CDI +</t>
  </si>
  <si>
    <t>2027 a 2031</t>
  </si>
  <si>
    <t>103,3 % do DI</t>
  </si>
  <si>
    <t>2028 a 2032</t>
  </si>
  <si>
    <t>105,36 % do DI</t>
  </si>
  <si>
    <t>2028 a 2035</t>
  </si>
  <si>
    <t>PRE</t>
  </si>
  <si>
    <t>106,6 % do DI</t>
  </si>
  <si>
    <t>%CDI</t>
  </si>
  <si>
    <t>69,5 % do DI</t>
  </si>
  <si>
    <t>Nota Comercial - CDI +</t>
  </si>
  <si>
    <t>70,8 % do DI</t>
  </si>
  <si>
    <t>2026 a 2032</t>
  </si>
  <si>
    <t>0,7 % do DI</t>
  </si>
  <si>
    <t>2026 a 2040</t>
  </si>
  <si>
    <t>²Considera instrumento de proteção para principal e juros a DI + 1,635% para um valor nocional de US$ 50 milhões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</si>
</sst>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0"/>
    <numFmt numFmtId="165" formatCode="0.0000"/>
    <numFmt numFmtId="166" formatCode="_(* #,##0.00_);_(* \(#,##0.00\);_(* &quot;-&quot;??_);_(@_)"/>
    <numFmt numFmtId="167" formatCode="_(* #,##0_);_(* \(#,##0\);_(* &quot;-&quot;??_);_(@_)"/>
    <numFmt numFmtId="168" formatCode="_(* #,##0.0_);_(* \(#,##0.0\);_(* &quot;-&quot;??_);_(@_)"/>
    <numFmt numFmtId="169" formatCode="0.0"/>
    <numFmt numFmtId="170" formatCode="_(* #,##0.000_);_(* \(#,##0.000\);_(* &quot;-&quot;??_);_(@_)"/>
    <numFmt numFmtId="171" formatCode="#,##0;\(#,##0\)"/>
    <numFmt numFmtId="172" formatCode="_-* #,##0.000000_-;\-* #,##0.000000_-;_-* &quot;-&quot;??????_-;_-@_-"/>
    <numFmt numFmtId="173" formatCode="_(* #,##0.0000_);_(* \(#,##0.0000\);_(* &quot;-&quot;??_);_(@_)"/>
    <numFmt numFmtId="174" formatCode="0.0%"/>
  </numFmts>
  <fonts count="16" x14ac:knownFonts="1">
    <font>
      <sz val="11"/>
      <color theme="1"/>
      <name val="Aptos Narrow"/>
      <family val="2"/>
      <scheme val="minor"/>
    </font>
    <font>
      <sz val="10"/>
      <name val="Helv"/>
    </font>
    <font>
      <b/>
      <sz val="10"/>
      <color indexed="8"/>
      <name val="Aptos"/>
      <family val="2"/>
    </font>
    <font>
      <sz val="10"/>
      <color indexed="8"/>
      <name val="Aptos"/>
      <family val="2"/>
    </font>
    <font>
      <sz val="10"/>
      <name val="Arial"/>
      <family val="2"/>
    </font>
    <font>
      <sz val="10"/>
      <color indexed="10"/>
      <name val="Aptos"/>
      <family val="2"/>
    </font>
    <font>
      <b/>
      <sz val="10"/>
      <color theme="0"/>
      <name val="Aptos"/>
      <family val="2"/>
    </font>
    <font>
      <i/>
      <sz val="10"/>
      <color indexed="8"/>
      <name val="Aptos"/>
      <family val="2"/>
    </font>
    <font>
      <b/>
      <i/>
      <sz val="10"/>
      <color indexed="8"/>
      <name val="Aptos"/>
      <family val="2"/>
    </font>
    <font>
      <sz val="10"/>
      <color rgb="FF0091FF"/>
      <name val="Aptos"/>
      <family val="2"/>
    </font>
    <font>
      <b/>
      <i/>
      <sz val="10"/>
      <color rgb="FF0050A0"/>
      <name val="Aptos"/>
      <family val="2"/>
    </font>
    <font>
      <i/>
      <sz val="10"/>
      <color rgb="FF0050A0"/>
      <name val="Aptos"/>
      <family val="2"/>
    </font>
    <font>
      <b/>
      <sz val="10"/>
      <color rgb="FF0050A0"/>
      <name val="Aptos"/>
      <family val="2"/>
    </font>
    <font>
      <i/>
      <sz val="10"/>
      <color rgb="FF0091FF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50A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50A0"/>
      </left>
      <right/>
      <top style="medium">
        <color rgb="FF0050A0"/>
      </top>
      <bottom style="medium">
        <color rgb="FF0050A0"/>
      </bottom>
      <diagonal/>
    </border>
    <border>
      <left/>
      <right/>
      <top style="medium">
        <color rgb="FF0050A0"/>
      </top>
      <bottom style="medium">
        <color rgb="FF0050A0"/>
      </bottom>
      <diagonal/>
    </border>
    <border>
      <left/>
      <right style="medium">
        <color rgb="FF0050A0"/>
      </right>
      <top style="medium">
        <color rgb="FF0050A0"/>
      </top>
      <bottom style="medium">
        <color rgb="FF0050A0"/>
      </bottom>
      <diagonal/>
    </border>
  </borders>
  <cellStyleXfs count="7">
    <xf numFmtId="0" fontId="0" fillId="0" borderId="0"/>
    <xf numFmtId="0" fontId="1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17">
    <xf numFmtId="0" fontId="0" fillId="0" borderId="0" xfId="0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"/>
    </xf>
    <xf numFmtId="164" fontId="3" fillId="2" borderId="0" xfId="1" applyNumberFormat="1" applyFont="1" applyFill="1"/>
    <xf numFmtId="165" fontId="3" fillId="2" borderId="0" xfId="1" applyNumberFormat="1" applyFont="1" applyFill="1"/>
    <xf numFmtId="167" fontId="5" fillId="2" borderId="0" xfId="2" applyNumberFormat="1" applyFont="1" applyFill="1" applyBorder="1"/>
    <xf numFmtId="0" fontId="3" fillId="2" borderId="0" xfId="1" applyFont="1" applyFill="1"/>
    <xf numFmtId="4" fontId="3" fillId="2" borderId="0" xfId="2" applyNumberFormat="1" applyFont="1" applyFill="1" applyBorder="1"/>
    <xf numFmtId="0" fontId="6" fillId="3" borderId="0" xfId="1" applyFont="1" applyFill="1" applyAlignment="1">
      <alignment vertical="center"/>
    </xf>
    <xf numFmtId="0" fontId="6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center"/>
    </xf>
    <xf numFmtId="168" fontId="3" fillId="2" borderId="0" xfId="1" applyNumberFormat="1" applyFont="1" applyFill="1"/>
    <xf numFmtId="17" fontId="6" fillId="3" borderId="0" xfId="1" applyNumberFormat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7" fillId="2" borderId="0" xfId="1" applyFont="1" applyFill="1"/>
    <xf numFmtId="0" fontId="8" fillId="2" borderId="0" xfId="1" applyFont="1" applyFill="1"/>
    <xf numFmtId="169" fontId="7" fillId="0" borderId="0" xfId="1" applyNumberFormat="1" applyFont="1"/>
    <xf numFmtId="170" fontId="2" fillId="0" borderId="0" xfId="2" applyNumberFormat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170" fontId="2" fillId="2" borderId="0" xfId="2" applyNumberFormat="1" applyFont="1" applyFill="1" applyBorder="1"/>
    <xf numFmtId="170" fontId="8" fillId="2" borderId="0" xfId="2" applyNumberFormat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2" fontId="3" fillId="0" borderId="0" xfId="1" applyNumberFormat="1" applyFont="1" applyAlignment="1">
      <alignment horizontal="center"/>
    </xf>
    <xf numFmtId="170" fontId="8" fillId="0" borderId="0" xfId="2" applyNumberFormat="1" applyFont="1" applyFill="1" applyBorder="1" applyAlignment="1">
      <alignment horizontal="center"/>
    </xf>
    <xf numFmtId="0" fontId="3" fillId="0" borderId="0" xfId="1" applyFont="1"/>
    <xf numFmtId="166" fontId="3" fillId="5" borderId="0" xfId="1" applyNumberFormat="1" applyFont="1" applyFill="1" applyAlignment="1">
      <alignment horizontal="center"/>
    </xf>
    <xf numFmtId="10" fontId="3" fillId="0" borderId="0" xfId="3" applyNumberFormat="1" applyFont="1" applyFill="1" applyBorder="1" applyAlignment="1">
      <alignment horizontal="center"/>
    </xf>
    <xf numFmtId="171" fontId="3" fillId="0" borderId="0" xfId="2" applyNumberFormat="1" applyFont="1" applyFill="1" applyBorder="1" applyAlignment="1">
      <alignment horizontal="center"/>
    </xf>
    <xf numFmtId="166" fontId="5" fillId="2" borderId="0" xfId="2" applyFont="1" applyFill="1" applyBorder="1"/>
    <xf numFmtId="172" fontId="3" fillId="2" borderId="0" xfId="1" applyNumberFormat="1" applyFont="1" applyFill="1"/>
    <xf numFmtId="166" fontId="3" fillId="0" borderId="0" xfId="1" applyNumberFormat="1" applyFont="1" applyAlignment="1">
      <alignment horizontal="center"/>
    </xf>
    <xf numFmtId="171" fontId="2" fillId="0" borderId="0" xfId="2" applyNumberFormat="1" applyFont="1" applyFill="1" applyBorder="1" applyAlignment="1">
      <alignment horizontal="center"/>
    </xf>
    <xf numFmtId="171" fontId="2" fillId="5" borderId="0" xfId="2" applyNumberFormat="1" applyFont="1" applyFill="1" applyBorder="1" applyAlignment="1">
      <alignment horizontal="center"/>
    </xf>
    <xf numFmtId="0" fontId="9" fillId="2" borderId="0" xfId="1" applyFont="1" applyFill="1"/>
    <xf numFmtId="0" fontId="10" fillId="2" borderId="1" xfId="1" applyFont="1" applyFill="1" applyBorder="1"/>
    <xf numFmtId="0" fontId="11" fillId="2" borderId="2" xfId="1" applyFont="1" applyFill="1" applyBorder="1"/>
    <xf numFmtId="169" fontId="11" fillId="0" borderId="2" xfId="1" applyNumberFormat="1" applyFont="1" applyBorder="1"/>
    <xf numFmtId="171" fontId="12" fillId="0" borderId="2" xfId="2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71" fontId="12" fillId="2" borderId="2" xfId="2" applyNumberFormat="1" applyFont="1" applyFill="1" applyBorder="1" applyAlignment="1">
      <alignment horizontal="center"/>
    </xf>
    <xf numFmtId="171" fontId="12" fillId="2" borderId="3" xfId="2" applyNumberFormat="1" applyFont="1" applyFill="1" applyBorder="1" applyAlignment="1">
      <alignment horizontal="center"/>
    </xf>
    <xf numFmtId="170" fontId="9" fillId="2" borderId="0" xfId="2" applyNumberFormat="1" applyFont="1" applyFill="1" applyBorder="1"/>
    <xf numFmtId="168" fontId="9" fillId="2" borderId="0" xfId="1" applyNumberFormat="1" applyFont="1" applyFill="1"/>
    <xf numFmtId="0" fontId="13" fillId="2" borderId="0" xfId="1" applyFont="1" applyFill="1"/>
    <xf numFmtId="169" fontId="3" fillId="0" borderId="0" xfId="1" applyNumberFormat="1" applyFont="1"/>
    <xf numFmtId="171" fontId="3" fillId="5" borderId="0" xfId="2" applyNumberFormat="1" applyFont="1" applyFill="1" applyBorder="1" applyAlignment="1">
      <alignment horizontal="center"/>
    </xf>
    <xf numFmtId="173" fontId="5" fillId="2" borderId="0" xfId="2" applyNumberFormat="1" applyFont="1" applyFill="1" applyBorder="1"/>
    <xf numFmtId="0" fontId="7" fillId="0" borderId="0" xfId="1" applyFont="1"/>
    <xf numFmtId="167" fontId="7" fillId="2" borderId="0" xfId="1" applyNumberFormat="1" applyFont="1" applyFill="1"/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 vertical="center" wrapText="1"/>
    </xf>
    <xf numFmtId="173" fontId="5" fillId="0" borderId="0" xfId="2" applyNumberFormat="1" applyFont="1" applyFill="1" applyBorder="1" applyAlignment="1">
      <alignment vertical="center"/>
    </xf>
    <xf numFmtId="0" fontId="3" fillId="0" borderId="0" xfId="1" applyFont="1" applyAlignment="1">
      <alignment horizontal="left" vertical="center"/>
    </xf>
    <xf numFmtId="167" fontId="5" fillId="0" borderId="0" xfId="2" applyNumberFormat="1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14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168" fontId="5" fillId="0" borderId="0" xfId="2" applyNumberFormat="1" applyFont="1" applyFill="1" applyBorder="1" applyAlignment="1">
      <alignment vertical="center"/>
    </xf>
    <xf numFmtId="0" fontId="15" fillId="0" borderId="0" xfId="1" applyFont="1" applyAlignment="1">
      <alignment vertical="center"/>
    </xf>
    <xf numFmtId="9" fontId="3" fillId="2" borderId="0" xfId="3" applyFont="1" applyFill="1" applyBorder="1"/>
    <xf numFmtId="167" fontId="5" fillId="2" borderId="0" xfId="4" applyNumberFormat="1" applyFont="1" applyFill="1" applyBorder="1"/>
    <xf numFmtId="4" fontId="3" fillId="2" borderId="0" xfId="4" applyNumberFormat="1" applyFont="1" applyFill="1" applyBorder="1"/>
    <xf numFmtId="0" fontId="3" fillId="5" borderId="0" xfId="1" applyFont="1" applyFill="1"/>
    <xf numFmtId="0" fontId="7" fillId="5" borderId="0" xfId="1" applyFont="1" applyFill="1"/>
    <xf numFmtId="0" fontId="8" fillId="5" borderId="0" xfId="1" applyFont="1" applyFill="1"/>
    <xf numFmtId="169" fontId="7" fillId="5" borderId="0" xfId="1" applyNumberFormat="1" applyFont="1" applyFill="1"/>
    <xf numFmtId="170" fontId="2" fillId="5" borderId="0" xfId="4" applyNumberFormat="1" applyFont="1" applyFill="1" applyBorder="1" applyAlignment="1">
      <alignment horizontal="center"/>
    </xf>
    <xf numFmtId="0" fontId="7" fillId="5" borderId="0" xfId="1" applyFont="1" applyFill="1" applyAlignment="1">
      <alignment horizontal="center"/>
    </xf>
    <xf numFmtId="170" fontId="2" fillId="5" borderId="0" xfId="4" applyNumberFormat="1" applyFont="1" applyFill="1" applyBorder="1"/>
    <xf numFmtId="167" fontId="5" fillId="5" borderId="0" xfId="4" applyNumberFormat="1" applyFont="1" applyFill="1" applyBorder="1"/>
    <xf numFmtId="168" fontId="3" fillId="5" borderId="0" xfId="1" applyNumberFormat="1" applyFont="1" applyFill="1"/>
    <xf numFmtId="170" fontId="8" fillId="5" borderId="0" xfId="4" applyNumberFormat="1" applyFont="1" applyFill="1" applyBorder="1" applyAlignment="1">
      <alignment horizontal="center"/>
    </xf>
    <xf numFmtId="0" fontId="8" fillId="5" borderId="0" xfId="1" applyFont="1" applyFill="1" applyAlignment="1">
      <alignment horizontal="center"/>
    </xf>
    <xf numFmtId="2" fontId="3" fillId="5" borderId="0" xfId="1" applyNumberFormat="1" applyFont="1" applyFill="1" applyAlignment="1">
      <alignment horizontal="center"/>
    </xf>
    <xf numFmtId="174" fontId="3" fillId="5" borderId="0" xfId="5" applyNumberFormat="1" applyFont="1" applyFill="1" applyBorder="1" applyAlignment="1">
      <alignment horizontal="center"/>
    </xf>
    <xf numFmtId="10" fontId="3" fillId="5" borderId="0" xfId="5" applyNumberFormat="1" applyFont="1" applyFill="1" applyBorder="1" applyAlignment="1">
      <alignment horizontal="center"/>
    </xf>
    <xf numFmtId="171" fontId="3" fillId="5" borderId="0" xfId="4" applyNumberFormat="1" applyFont="1" applyFill="1" applyBorder="1" applyAlignment="1">
      <alignment horizontal="center"/>
    </xf>
    <xf numFmtId="0" fontId="3" fillId="5" borderId="0" xfId="1" applyFont="1" applyFill="1" applyAlignment="1">
      <alignment horizontal="centerContinuous"/>
    </xf>
    <xf numFmtId="166" fontId="5" fillId="5" borderId="0" xfId="4" applyFont="1" applyFill="1" applyBorder="1"/>
    <xf numFmtId="172" fontId="3" fillId="5" borderId="0" xfId="1" applyNumberFormat="1" applyFont="1" applyFill="1"/>
    <xf numFmtId="171" fontId="2" fillId="5" borderId="0" xfId="4" applyNumberFormat="1" applyFont="1" applyFill="1" applyBorder="1" applyAlignment="1">
      <alignment horizontal="center"/>
    </xf>
    <xf numFmtId="0" fontId="9" fillId="5" borderId="0" xfId="1" applyFont="1" applyFill="1"/>
    <xf numFmtId="0" fontId="10" fillId="5" borderId="1" xfId="1" applyFont="1" applyFill="1" applyBorder="1"/>
    <xf numFmtId="0" fontId="11" fillId="5" borderId="2" xfId="1" applyFont="1" applyFill="1" applyBorder="1"/>
    <xf numFmtId="169" fontId="11" fillId="5" borderId="2" xfId="1" applyNumberFormat="1" applyFont="1" applyFill="1" applyBorder="1"/>
    <xf numFmtId="171" fontId="12" fillId="5" borderId="2" xfId="4" applyNumberFormat="1" applyFont="1" applyFill="1" applyBorder="1" applyAlignment="1">
      <alignment horizontal="center"/>
    </xf>
    <xf numFmtId="167" fontId="11" fillId="5" borderId="2" xfId="1" applyNumberFormat="1" applyFont="1" applyFill="1" applyBorder="1" applyAlignment="1">
      <alignment horizontal="center"/>
    </xf>
    <xf numFmtId="171" fontId="12" fillId="5" borderId="3" xfId="4" applyNumberFormat="1" applyFont="1" applyFill="1" applyBorder="1" applyAlignment="1">
      <alignment horizontal="center"/>
    </xf>
    <xf numFmtId="170" fontId="9" fillId="5" borderId="0" xfId="4" applyNumberFormat="1" applyFont="1" applyFill="1" applyBorder="1"/>
    <xf numFmtId="168" fontId="9" fillId="5" borderId="0" xfId="1" applyNumberFormat="1" applyFont="1" applyFill="1"/>
    <xf numFmtId="0" fontId="13" fillId="5" borderId="0" xfId="1" applyFont="1" applyFill="1"/>
    <xf numFmtId="169" fontId="3" fillId="5" borderId="0" xfId="1" applyNumberFormat="1" applyFont="1" applyFill="1"/>
    <xf numFmtId="173" fontId="5" fillId="5" borderId="0" xfId="4" applyNumberFormat="1" applyFont="1" applyFill="1" applyBorder="1"/>
    <xf numFmtId="9" fontId="3" fillId="5" borderId="0" xfId="5" applyFont="1" applyFill="1" applyBorder="1" applyAlignment="1">
      <alignment horizontal="center"/>
    </xf>
    <xf numFmtId="171" fontId="12" fillId="2" borderId="2" xfId="6" applyNumberFormat="1" applyFont="1" applyFill="1" applyBorder="1" applyAlignment="1">
      <alignment horizontal="center"/>
    </xf>
    <xf numFmtId="171" fontId="12" fillId="2" borderId="3" xfId="6" applyNumberFormat="1" applyFont="1" applyFill="1" applyBorder="1" applyAlignment="1">
      <alignment horizontal="center"/>
    </xf>
    <xf numFmtId="167" fontId="7" fillId="5" borderId="0" xfId="1" applyNumberFormat="1" applyFont="1" applyFill="1"/>
    <xf numFmtId="171" fontId="12" fillId="0" borderId="2" xfId="6" applyNumberFormat="1" applyFont="1" applyFill="1" applyBorder="1" applyAlignment="1">
      <alignment horizontal="center"/>
    </xf>
    <xf numFmtId="0" fontId="3" fillId="5" borderId="0" xfId="1" applyFont="1" applyFill="1" applyAlignment="1">
      <alignment vertical="center"/>
    </xf>
    <xf numFmtId="0" fontId="3" fillId="5" borderId="0" xfId="1" applyFont="1" applyFill="1" applyAlignment="1">
      <alignment horizontal="left" vertical="center" wrapText="1"/>
    </xf>
    <xf numFmtId="173" fontId="5" fillId="5" borderId="0" xfId="4" applyNumberFormat="1" applyFont="1" applyFill="1" applyBorder="1" applyAlignment="1">
      <alignment vertical="center"/>
    </xf>
    <xf numFmtId="0" fontId="3" fillId="5" borderId="0" xfId="1" applyFont="1" applyFill="1" applyAlignment="1">
      <alignment horizontal="left" vertical="center"/>
    </xf>
    <xf numFmtId="167" fontId="5" fillId="5" borderId="0" xfId="4" applyNumberFormat="1" applyFont="1" applyFill="1" applyBorder="1" applyAlignment="1">
      <alignment vertical="center"/>
    </xf>
    <xf numFmtId="0" fontId="14" fillId="5" borderId="0" xfId="1" applyFont="1" applyFill="1" applyAlignment="1">
      <alignment vertical="center"/>
    </xf>
    <xf numFmtId="0" fontId="3" fillId="5" borderId="0" xfId="1" applyFont="1" applyFill="1" applyAlignment="1">
      <alignment vertical="center" wrapText="1"/>
    </xf>
    <xf numFmtId="0" fontId="3" fillId="5" borderId="0" xfId="1" applyFont="1" applyFill="1" applyAlignment="1">
      <alignment horizontal="center" vertical="center" wrapText="1"/>
    </xf>
    <xf numFmtId="168" fontId="5" fillId="5" borderId="0" xfId="4" applyNumberFormat="1" applyFont="1" applyFill="1" applyBorder="1" applyAlignment="1">
      <alignment vertical="center"/>
    </xf>
    <xf numFmtId="0" fontId="15" fillId="5" borderId="0" xfId="1" applyFont="1" applyFill="1" applyAlignment="1">
      <alignment vertical="center"/>
    </xf>
    <xf numFmtId="0" fontId="3" fillId="5" borderId="0" xfId="1" applyFont="1" applyFill="1" applyAlignment="1">
      <alignment horizontal="center"/>
    </xf>
    <xf numFmtId="9" fontId="3" fillId="2" borderId="0" xfId="5" applyFont="1" applyFill="1" applyBorder="1"/>
    <xf numFmtId="170" fontId="8" fillId="0" borderId="0" xfId="4" applyNumberFormat="1" applyFont="1" applyFill="1" applyBorder="1" applyAlignment="1">
      <alignment horizontal="center"/>
    </xf>
    <xf numFmtId="166" fontId="3" fillId="5" borderId="0" xfId="1" applyNumberFormat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170" fontId="2" fillId="0" borderId="0" xfId="4" applyNumberFormat="1" applyFont="1" applyFill="1" applyBorder="1" applyAlignment="1">
      <alignment horizontal="center"/>
    </xf>
  </cellXfs>
  <cellStyles count="7">
    <cellStyle name="Normal" xfId="0" builtinId="0"/>
    <cellStyle name="Normal_Divida 4T09_recebida Tesouraria" xfId="1" xr:uid="{B0F0E47B-6DE0-4DF4-8430-9B923068E7AB}"/>
    <cellStyle name="Porcentagem 10" xfId="5" xr:uid="{37A4FC1C-AE95-47DD-A595-35062A04839C}"/>
    <cellStyle name="Porcentagem 14" xfId="3" xr:uid="{2D60F8FA-D0A6-4127-9984-DDFDBB4343D8}"/>
    <cellStyle name="Vírgula 10" xfId="4" xr:uid="{3BE3704C-4BB6-4A27-88E2-CC3E5B0497CC}"/>
    <cellStyle name="Vírgula 15" xfId="2" xr:uid="{2F46E662-1F4C-4C18-88E6-1E4EA21B540B}"/>
    <cellStyle name="Vírgula 2" xfId="6" xr:uid="{82641A00-E47E-4D6B-BB1D-829C4D1601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133350</xdr:rowOff>
    </xdr:from>
    <xdr:to>
      <xdr:col>2</xdr:col>
      <xdr:colOff>1647826</xdr:colOff>
      <xdr:row>2</xdr:row>
      <xdr:rowOff>200025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5C672E3-90C7-4E82-A580-98DFADCC6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05" t="29086" r="14217" b="35419"/>
        <a:stretch>
          <a:fillRect/>
        </a:stretch>
      </xdr:blipFill>
      <xdr:spPr bwMode="auto">
        <a:xfrm>
          <a:off x="66676" y="133350"/>
          <a:ext cx="19812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11</xdr:col>
      <xdr:colOff>540000</xdr:colOff>
      <xdr:row>2</xdr:row>
      <xdr:rowOff>82478</xdr:rowOff>
    </xdr:to>
    <xdr:sp macro="[1]!MENU" textlink="">
      <xdr:nvSpPr>
        <xdr:cNvPr id="3" name="Seta: para a Esquerda 2">
          <a:extLst>
            <a:ext uri="{FF2B5EF4-FFF2-40B4-BE49-F238E27FC236}">
              <a16:creationId xmlns:a16="http://schemas.microsoft.com/office/drawing/2014/main" id="{55E27DD1-BDCA-4232-9319-907A2CD9FFE7}"/>
            </a:ext>
          </a:extLst>
        </xdr:cNvPr>
        <xdr:cNvSpPr/>
      </xdr:nvSpPr>
      <xdr:spPr>
        <a:xfrm>
          <a:off x="12182475" y="295275"/>
          <a:ext cx="540000" cy="377753"/>
        </a:xfrm>
        <a:prstGeom prst="leftArrow">
          <a:avLst/>
        </a:prstGeom>
        <a:noFill/>
        <a:ln>
          <a:solidFill>
            <a:schemeClr val="tx1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chemeClr val="tx1"/>
              </a:solidFill>
              <a:latin typeface="Century Gothic" panose="020B0502020202020204" pitchFamily="34" charset="0"/>
            </a:rPr>
            <a:t>Menu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95250</xdr:rowOff>
    </xdr:from>
    <xdr:to>
      <xdr:col>2</xdr:col>
      <xdr:colOff>1390650</xdr:colOff>
      <xdr:row>2</xdr:row>
      <xdr:rowOff>238125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921F704D-C40E-496F-A83E-DA095B39D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05" t="29086" r="14217" b="35419"/>
        <a:stretch>
          <a:fillRect/>
        </a:stretch>
      </xdr:blipFill>
      <xdr:spPr bwMode="auto">
        <a:xfrm>
          <a:off x="47625" y="95250"/>
          <a:ext cx="17430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11</xdr:col>
      <xdr:colOff>540000</xdr:colOff>
      <xdr:row>2</xdr:row>
      <xdr:rowOff>82478</xdr:rowOff>
    </xdr:to>
    <xdr:sp macro="[1]!MENU" textlink="">
      <xdr:nvSpPr>
        <xdr:cNvPr id="3" name="Seta: para a Esquerda 2">
          <a:extLst>
            <a:ext uri="{FF2B5EF4-FFF2-40B4-BE49-F238E27FC236}">
              <a16:creationId xmlns:a16="http://schemas.microsoft.com/office/drawing/2014/main" id="{415FB40E-25D9-41C5-A637-A66969EC8C9D}"/>
            </a:ext>
          </a:extLst>
        </xdr:cNvPr>
        <xdr:cNvSpPr/>
      </xdr:nvSpPr>
      <xdr:spPr>
        <a:xfrm>
          <a:off x="12182475" y="295275"/>
          <a:ext cx="540000" cy="377753"/>
        </a:xfrm>
        <a:prstGeom prst="leftArrow">
          <a:avLst/>
        </a:prstGeom>
        <a:noFill/>
        <a:ln>
          <a:solidFill>
            <a:schemeClr val="tx1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chemeClr val="tx1"/>
              </a:solidFill>
              <a:latin typeface="Century Gothic" panose="020B0502020202020204" pitchFamily="34" charset="0"/>
            </a:rPr>
            <a:t>Menu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95250</xdr:rowOff>
    </xdr:from>
    <xdr:to>
      <xdr:col>3</xdr:col>
      <xdr:colOff>19050</xdr:colOff>
      <xdr:row>3</xdr:row>
      <xdr:rowOff>161925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AA3E934-1515-4834-81C7-6F23D4204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05" t="29086" r="14217" b="35419"/>
        <a:stretch>
          <a:fillRect/>
        </a:stretch>
      </xdr:blipFill>
      <xdr:spPr bwMode="auto">
        <a:xfrm>
          <a:off x="47625" y="95250"/>
          <a:ext cx="18002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11</xdr:col>
      <xdr:colOff>540000</xdr:colOff>
      <xdr:row>2</xdr:row>
      <xdr:rowOff>82478</xdr:rowOff>
    </xdr:to>
    <xdr:sp macro="[1]!MENU" textlink="">
      <xdr:nvSpPr>
        <xdr:cNvPr id="3" name="Seta: para a Esquerda 2">
          <a:extLst>
            <a:ext uri="{FF2B5EF4-FFF2-40B4-BE49-F238E27FC236}">
              <a16:creationId xmlns:a16="http://schemas.microsoft.com/office/drawing/2014/main" id="{AD9FFFD9-CE8B-4B71-80AC-50CBFF12B563}"/>
            </a:ext>
          </a:extLst>
        </xdr:cNvPr>
        <xdr:cNvSpPr/>
      </xdr:nvSpPr>
      <xdr:spPr>
        <a:xfrm>
          <a:off x="12182475" y="295275"/>
          <a:ext cx="540000" cy="377753"/>
        </a:xfrm>
        <a:prstGeom prst="leftArrow">
          <a:avLst/>
        </a:prstGeom>
        <a:noFill/>
        <a:ln>
          <a:solidFill>
            <a:schemeClr val="tx1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chemeClr val="tx1"/>
              </a:solidFill>
              <a:latin typeface="Century Gothic" panose="020B0502020202020204" pitchFamily="34" charset="0"/>
            </a:rPr>
            <a:t>Menu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95250</xdr:rowOff>
    </xdr:from>
    <xdr:to>
      <xdr:col>2</xdr:col>
      <xdr:colOff>628650</xdr:colOff>
      <xdr:row>2</xdr:row>
      <xdr:rowOff>142875</xdr:rowOff>
    </xdr:to>
    <xdr:pic>
      <xdr:nvPicPr>
        <xdr:cNvPr id="6" name="Imagem 2">
          <a:extLst>
            <a:ext uri="{FF2B5EF4-FFF2-40B4-BE49-F238E27FC236}">
              <a16:creationId xmlns:a16="http://schemas.microsoft.com/office/drawing/2014/main" id="{8775A58F-C6C6-443C-9BAD-40A4955E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05" t="29086" r="14217" b="35419"/>
        <a:stretch>
          <a:fillRect/>
        </a:stretch>
      </xdr:blipFill>
      <xdr:spPr bwMode="auto">
        <a:xfrm>
          <a:off x="47626" y="95250"/>
          <a:ext cx="981074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11</xdr:col>
      <xdr:colOff>540000</xdr:colOff>
      <xdr:row>2</xdr:row>
      <xdr:rowOff>82478</xdr:rowOff>
    </xdr:to>
    <xdr:sp macro="[1]!MENU" textlink="">
      <xdr:nvSpPr>
        <xdr:cNvPr id="7" name="Seta: para a Esquerda 6">
          <a:extLst>
            <a:ext uri="{FF2B5EF4-FFF2-40B4-BE49-F238E27FC236}">
              <a16:creationId xmlns:a16="http://schemas.microsoft.com/office/drawing/2014/main" id="{3E8959B3-DC63-428A-804C-B3C74BA5BA7E}"/>
            </a:ext>
          </a:extLst>
        </xdr:cNvPr>
        <xdr:cNvSpPr/>
      </xdr:nvSpPr>
      <xdr:spPr>
        <a:xfrm>
          <a:off x="12182475" y="295275"/>
          <a:ext cx="540000" cy="377753"/>
        </a:xfrm>
        <a:prstGeom prst="leftArrow">
          <a:avLst/>
        </a:prstGeom>
        <a:noFill/>
        <a:ln>
          <a:solidFill>
            <a:schemeClr val="tx1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chemeClr val="tx1"/>
              </a:solidFill>
              <a:latin typeface="Century Gothic" panose="020B0502020202020204" pitchFamily="34" charset="0"/>
            </a:rPr>
            <a:t>Menu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D&#237;vida.xls" TargetMode="External"/><Relationship Id="rId2" Type="http://schemas.openxmlformats.org/officeDocument/2006/relationships/externalLinkPath" Target="file:///C:\Users\kaique.lopes\Downloads\D&#237;vida.xls" TargetMode="External"/><Relationship Id="rId1" Type="http://schemas.openxmlformats.org/officeDocument/2006/relationships/externalLinkPath" Target="/Users/kaique.lopes/Downloads/D&#237;vid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nu"/>
      <sheetName val="1T12"/>
      <sheetName val="2T12"/>
      <sheetName val="3T12"/>
      <sheetName val="4T12"/>
      <sheetName val="1T13"/>
      <sheetName val="2T13"/>
      <sheetName val="3T13"/>
      <sheetName val="4T13"/>
      <sheetName val="1T14"/>
      <sheetName val="2T14"/>
      <sheetName val="3T14"/>
      <sheetName val="4T14"/>
      <sheetName val="1T15"/>
      <sheetName val="2T15"/>
      <sheetName val="3T15"/>
      <sheetName val="4T15"/>
      <sheetName val="1T16"/>
      <sheetName val="2T16"/>
      <sheetName val="3T16"/>
      <sheetName val="4T16"/>
      <sheetName val="1T17"/>
      <sheetName val="2T17"/>
      <sheetName val="3T17"/>
      <sheetName val="4T17"/>
      <sheetName val="1T18"/>
      <sheetName val="2T18"/>
      <sheetName val="3T18"/>
      <sheetName val="4T18"/>
      <sheetName val="1T19"/>
      <sheetName val="2T19"/>
      <sheetName val="3T19"/>
      <sheetName val="4T19"/>
      <sheetName val="1T20"/>
      <sheetName val="2T20"/>
      <sheetName val="3T20"/>
      <sheetName val="4T20"/>
      <sheetName val="1T21"/>
      <sheetName val="2T21"/>
      <sheetName val="3T21"/>
      <sheetName val="4T21"/>
      <sheetName val="1T22"/>
      <sheetName val="2T22"/>
      <sheetName val="3T22"/>
      <sheetName val="4T22"/>
      <sheetName val="1T23"/>
      <sheetName val="2T23"/>
      <sheetName val="3T23"/>
      <sheetName val="4T23"/>
      <sheetName val="1T24"/>
      <sheetName val="2T24"/>
      <sheetName val="3T24"/>
      <sheetName val="4T24"/>
      <sheetName val="1T25"/>
      <sheetName val="2T25"/>
      <sheetName val="3T25"/>
      <sheetName val="4T25"/>
      <sheetName val="1T26"/>
      <sheetName val="2T26"/>
    </sheetNames>
    <definedNames>
      <definedName name="MENU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C91D-9A19-4878-8933-C4663280371E}">
  <dimension ref="A1:T59"/>
  <sheetViews>
    <sheetView showGridLines="0" workbookViewId="0">
      <selection activeCell="C39" sqref="C39"/>
    </sheetView>
  </sheetViews>
  <sheetFormatPr defaultColWidth="11.42578125" defaultRowHeight="13.5" outlineLevelRow="1" x14ac:dyDescent="0.25"/>
  <cols>
    <col min="1" max="2" width="3" style="7" customWidth="1"/>
    <col min="3" max="3" width="45.42578125" style="7" customWidth="1"/>
    <col min="4" max="4" width="21" style="7" bestFit="1" customWidth="1"/>
    <col min="5" max="6" width="21.28515625" style="7" customWidth="1"/>
    <col min="7" max="7" width="12.7109375" style="3" customWidth="1"/>
    <col min="8" max="8" width="14.7109375" style="7" bestFit="1" customWidth="1"/>
    <col min="9" max="14" width="13.42578125" style="7" customWidth="1"/>
    <col min="15" max="15" width="14" style="6" customWidth="1"/>
    <col min="16" max="16" width="13.5703125" style="7" bestFit="1" customWidth="1"/>
    <col min="17" max="17" width="15.28515625" style="7" bestFit="1" customWidth="1"/>
    <col min="18" max="18" width="12.85546875" style="7" bestFit="1" customWidth="1"/>
    <col min="19" max="256" width="11.42578125" style="7"/>
    <col min="257" max="258" width="3" style="7" customWidth="1"/>
    <col min="259" max="259" width="45.42578125" style="7" customWidth="1"/>
    <col min="260" max="260" width="21" style="7" bestFit="1" customWidth="1"/>
    <col min="261" max="262" width="21.28515625" style="7" customWidth="1"/>
    <col min="263" max="263" width="12.7109375" style="7" customWidth="1"/>
    <col min="264" max="264" width="14.7109375" style="7" bestFit="1" customWidth="1"/>
    <col min="265" max="270" width="13.42578125" style="7" customWidth="1"/>
    <col min="271" max="271" width="14" style="7" customWidth="1"/>
    <col min="272" max="272" width="13.5703125" style="7" bestFit="1" customWidth="1"/>
    <col min="273" max="273" width="15.28515625" style="7" bestFit="1" customWidth="1"/>
    <col min="274" max="274" width="12.85546875" style="7" bestFit="1" customWidth="1"/>
    <col min="275" max="512" width="11.42578125" style="7"/>
    <col min="513" max="514" width="3" style="7" customWidth="1"/>
    <col min="515" max="515" width="45.42578125" style="7" customWidth="1"/>
    <col min="516" max="516" width="21" style="7" bestFit="1" customWidth="1"/>
    <col min="517" max="518" width="21.28515625" style="7" customWidth="1"/>
    <col min="519" max="519" width="12.7109375" style="7" customWidth="1"/>
    <col min="520" max="520" width="14.7109375" style="7" bestFit="1" customWidth="1"/>
    <col min="521" max="526" width="13.42578125" style="7" customWidth="1"/>
    <col min="527" max="527" width="14" style="7" customWidth="1"/>
    <col min="528" max="528" width="13.5703125" style="7" bestFit="1" customWidth="1"/>
    <col min="529" max="529" width="15.28515625" style="7" bestFit="1" customWidth="1"/>
    <col min="530" max="530" width="12.85546875" style="7" bestFit="1" customWidth="1"/>
    <col min="531" max="768" width="11.42578125" style="7"/>
    <col min="769" max="770" width="3" style="7" customWidth="1"/>
    <col min="771" max="771" width="45.42578125" style="7" customWidth="1"/>
    <col min="772" max="772" width="21" style="7" bestFit="1" customWidth="1"/>
    <col min="773" max="774" width="21.28515625" style="7" customWidth="1"/>
    <col min="775" max="775" width="12.7109375" style="7" customWidth="1"/>
    <col min="776" max="776" width="14.7109375" style="7" bestFit="1" customWidth="1"/>
    <col min="777" max="782" width="13.42578125" style="7" customWidth="1"/>
    <col min="783" max="783" width="14" style="7" customWidth="1"/>
    <col min="784" max="784" width="13.5703125" style="7" bestFit="1" customWidth="1"/>
    <col min="785" max="785" width="15.28515625" style="7" bestFit="1" customWidth="1"/>
    <col min="786" max="786" width="12.85546875" style="7" bestFit="1" customWidth="1"/>
    <col min="787" max="1024" width="11.42578125" style="7"/>
    <col min="1025" max="1026" width="3" style="7" customWidth="1"/>
    <col min="1027" max="1027" width="45.42578125" style="7" customWidth="1"/>
    <col min="1028" max="1028" width="21" style="7" bestFit="1" customWidth="1"/>
    <col min="1029" max="1030" width="21.28515625" style="7" customWidth="1"/>
    <col min="1031" max="1031" width="12.7109375" style="7" customWidth="1"/>
    <col min="1032" max="1032" width="14.7109375" style="7" bestFit="1" customWidth="1"/>
    <col min="1033" max="1038" width="13.42578125" style="7" customWidth="1"/>
    <col min="1039" max="1039" width="14" style="7" customWidth="1"/>
    <col min="1040" max="1040" width="13.5703125" style="7" bestFit="1" customWidth="1"/>
    <col min="1041" max="1041" width="15.28515625" style="7" bestFit="1" customWidth="1"/>
    <col min="1042" max="1042" width="12.85546875" style="7" bestFit="1" customWidth="1"/>
    <col min="1043" max="1280" width="11.42578125" style="7"/>
    <col min="1281" max="1282" width="3" style="7" customWidth="1"/>
    <col min="1283" max="1283" width="45.42578125" style="7" customWidth="1"/>
    <col min="1284" max="1284" width="21" style="7" bestFit="1" customWidth="1"/>
    <col min="1285" max="1286" width="21.28515625" style="7" customWidth="1"/>
    <col min="1287" max="1287" width="12.7109375" style="7" customWidth="1"/>
    <col min="1288" max="1288" width="14.7109375" style="7" bestFit="1" customWidth="1"/>
    <col min="1289" max="1294" width="13.42578125" style="7" customWidth="1"/>
    <col min="1295" max="1295" width="14" style="7" customWidth="1"/>
    <col min="1296" max="1296" width="13.5703125" style="7" bestFit="1" customWidth="1"/>
    <col min="1297" max="1297" width="15.28515625" style="7" bestFit="1" customWidth="1"/>
    <col min="1298" max="1298" width="12.85546875" style="7" bestFit="1" customWidth="1"/>
    <col min="1299" max="1536" width="11.42578125" style="7"/>
    <col min="1537" max="1538" width="3" style="7" customWidth="1"/>
    <col min="1539" max="1539" width="45.42578125" style="7" customWidth="1"/>
    <col min="1540" max="1540" width="21" style="7" bestFit="1" customWidth="1"/>
    <col min="1541" max="1542" width="21.28515625" style="7" customWidth="1"/>
    <col min="1543" max="1543" width="12.7109375" style="7" customWidth="1"/>
    <col min="1544" max="1544" width="14.7109375" style="7" bestFit="1" customWidth="1"/>
    <col min="1545" max="1550" width="13.42578125" style="7" customWidth="1"/>
    <col min="1551" max="1551" width="14" style="7" customWidth="1"/>
    <col min="1552" max="1552" width="13.5703125" style="7" bestFit="1" customWidth="1"/>
    <col min="1553" max="1553" width="15.28515625" style="7" bestFit="1" customWidth="1"/>
    <col min="1554" max="1554" width="12.85546875" style="7" bestFit="1" customWidth="1"/>
    <col min="1555" max="1792" width="11.42578125" style="7"/>
    <col min="1793" max="1794" width="3" style="7" customWidth="1"/>
    <col min="1795" max="1795" width="45.42578125" style="7" customWidth="1"/>
    <col min="1796" max="1796" width="21" style="7" bestFit="1" customWidth="1"/>
    <col min="1797" max="1798" width="21.28515625" style="7" customWidth="1"/>
    <col min="1799" max="1799" width="12.7109375" style="7" customWidth="1"/>
    <col min="1800" max="1800" width="14.7109375" style="7" bestFit="1" customWidth="1"/>
    <col min="1801" max="1806" width="13.42578125" style="7" customWidth="1"/>
    <col min="1807" max="1807" width="14" style="7" customWidth="1"/>
    <col min="1808" max="1808" width="13.5703125" style="7" bestFit="1" customWidth="1"/>
    <col min="1809" max="1809" width="15.28515625" style="7" bestFit="1" customWidth="1"/>
    <col min="1810" max="1810" width="12.85546875" style="7" bestFit="1" customWidth="1"/>
    <col min="1811" max="2048" width="11.42578125" style="7"/>
    <col min="2049" max="2050" width="3" style="7" customWidth="1"/>
    <col min="2051" max="2051" width="45.42578125" style="7" customWidth="1"/>
    <col min="2052" max="2052" width="21" style="7" bestFit="1" customWidth="1"/>
    <col min="2053" max="2054" width="21.28515625" style="7" customWidth="1"/>
    <col min="2055" max="2055" width="12.7109375" style="7" customWidth="1"/>
    <col min="2056" max="2056" width="14.7109375" style="7" bestFit="1" customWidth="1"/>
    <col min="2057" max="2062" width="13.42578125" style="7" customWidth="1"/>
    <col min="2063" max="2063" width="14" style="7" customWidth="1"/>
    <col min="2064" max="2064" width="13.5703125" style="7" bestFit="1" customWidth="1"/>
    <col min="2065" max="2065" width="15.28515625" style="7" bestFit="1" customWidth="1"/>
    <col min="2066" max="2066" width="12.85546875" style="7" bestFit="1" customWidth="1"/>
    <col min="2067" max="2304" width="11.42578125" style="7"/>
    <col min="2305" max="2306" width="3" style="7" customWidth="1"/>
    <col min="2307" max="2307" width="45.42578125" style="7" customWidth="1"/>
    <col min="2308" max="2308" width="21" style="7" bestFit="1" customWidth="1"/>
    <col min="2309" max="2310" width="21.28515625" style="7" customWidth="1"/>
    <col min="2311" max="2311" width="12.7109375" style="7" customWidth="1"/>
    <col min="2312" max="2312" width="14.7109375" style="7" bestFit="1" customWidth="1"/>
    <col min="2313" max="2318" width="13.42578125" style="7" customWidth="1"/>
    <col min="2319" max="2319" width="14" style="7" customWidth="1"/>
    <col min="2320" max="2320" width="13.5703125" style="7" bestFit="1" customWidth="1"/>
    <col min="2321" max="2321" width="15.28515625" style="7" bestFit="1" customWidth="1"/>
    <col min="2322" max="2322" width="12.85546875" style="7" bestFit="1" customWidth="1"/>
    <col min="2323" max="2560" width="11.42578125" style="7"/>
    <col min="2561" max="2562" width="3" style="7" customWidth="1"/>
    <col min="2563" max="2563" width="45.42578125" style="7" customWidth="1"/>
    <col min="2564" max="2564" width="21" style="7" bestFit="1" customWidth="1"/>
    <col min="2565" max="2566" width="21.28515625" style="7" customWidth="1"/>
    <col min="2567" max="2567" width="12.7109375" style="7" customWidth="1"/>
    <col min="2568" max="2568" width="14.7109375" style="7" bestFit="1" customWidth="1"/>
    <col min="2569" max="2574" width="13.42578125" style="7" customWidth="1"/>
    <col min="2575" max="2575" width="14" style="7" customWidth="1"/>
    <col min="2576" max="2576" width="13.5703125" style="7" bestFit="1" customWidth="1"/>
    <col min="2577" max="2577" width="15.28515625" style="7" bestFit="1" customWidth="1"/>
    <col min="2578" max="2578" width="12.85546875" style="7" bestFit="1" customWidth="1"/>
    <col min="2579" max="2816" width="11.42578125" style="7"/>
    <col min="2817" max="2818" width="3" style="7" customWidth="1"/>
    <col min="2819" max="2819" width="45.42578125" style="7" customWidth="1"/>
    <col min="2820" max="2820" width="21" style="7" bestFit="1" customWidth="1"/>
    <col min="2821" max="2822" width="21.28515625" style="7" customWidth="1"/>
    <col min="2823" max="2823" width="12.7109375" style="7" customWidth="1"/>
    <col min="2824" max="2824" width="14.7109375" style="7" bestFit="1" customWidth="1"/>
    <col min="2825" max="2830" width="13.42578125" style="7" customWidth="1"/>
    <col min="2831" max="2831" width="14" style="7" customWidth="1"/>
    <col min="2832" max="2832" width="13.5703125" style="7" bestFit="1" customWidth="1"/>
    <col min="2833" max="2833" width="15.28515625" style="7" bestFit="1" customWidth="1"/>
    <col min="2834" max="2834" width="12.85546875" style="7" bestFit="1" customWidth="1"/>
    <col min="2835" max="3072" width="11.42578125" style="7"/>
    <col min="3073" max="3074" width="3" style="7" customWidth="1"/>
    <col min="3075" max="3075" width="45.42578125" style="7" customWidth="1"/>
    <col min="3076" max="3076" width="21" style="7" bestFit="1" customWidth="1"/>
    <col min="3077" max="3078" width="21.28515625" style="7" customWidth="1"/>
    <col min="3079" max="3079" width="12.7109375" style="7" customWidth="1"/>
    <col min="3080" max="3080" width="14.7109375" style="7" bestFit="1" customWidth="1"/>
    <col min="3081" max="3086" width="13.42578125" style="7" customWidth="1"/>
    <col min="3087" max="3087" width="14" style="7" customWidth="1"/>
    <col min="3088" max="3088" width="13.5703125" style="7" bestFit="1" customWidth="1"/>
    <col min="3089" max="3089" width="15.28515625" style="7" bestFit="1" customWidth="1"/>
    <col min="3090" max="3090" width="12.85546875" style="7" bestFit="1" customWidth="1"/>
    <col min="3091" max="3328" width="11.42578125" style="7"/>
    <col min="3329" max="3330" width="3" style="7" customWidth="1"/>
    <col min="3331" max="3331" width="45.42578125" style="7" customWidth="1"/>
    <col min="3332" max="3332" width="21" style="7" bestFit="1" customWidth="1"/>
    <col min="3333" max="3334" width="21.28515625" style="7" customWidth="1"/>
    <col min="3335" max="3335" width="12.7109375" style="7" customWidth="1"/>
    <col min="3336" max="3336" width="14.7109375" style="7" bestFit="1" customWidth="1"/>
    <col min="3337" max="3342" width="13.42578125" style="7" customWidth="1"/>
    <col min="3343" max="3343" width="14" style="7" customWidth="1"/>
    <col min="3344" max="3344" width="13.5703125" style="7" bestFit="1" customWidth="1"/>
    <col min="3345" max="3345" width="15.28515625" style="7" bestFit="1" customWidth="1"/>
    <col min="3346" max="3346" width="12.85546875" style="7" bestFit="1" customWidth="1"/>
    <col min="3347" max="3584" width="11.42578125" style="7"/>
    <col min="3585" max="3586" width="3" style="7" customWidth="1"/>
    <col min="3587" max="3587" width="45.42578125" style="7" customWidth="1"/>
    <col min="3588" max="3588" width="21" style="7" bestFit="1" customWidth="1"/>
    <col min="3589" max="3590" width="21.28515625" style="7" customWidth="1"/>
    <col min="3591" max="3591" width="12.7109375" style="7" customWidth="1"/>
    <col min="3592" max="3592" width="14.7109375" style="7" bestFit="1" customWidth="1"/>
    <col min="3593" max="3598" width="13.42578125" style="7" customWidth="1"/>
    <col min="3599" max="3599" width="14" style="7" customWidth="1"/>
    <col min="3600" max="3600" width="13.5703125" style="7" bestFit="1" customWidth="1"/>
    <col min="3601" max="3601" width="15.28515625" style="7" bestFit="1" customWidth="1"/>
    <col min="3602" max="3602" width="12.85546875" style="7" bestFit="1" customWidth="1"/>
    <col min="3603" max="3840" width="11.42578125" style="7"/>
    <col min="3841" max="3842" width="3" style="7" customWidth="1"/>
    <col min="3843" max="3843" width="45.42578125" style="7" customWidth="1"/>
    <col min="3844" max="3844" width="21" style="7" bestFit="1" customWidth="1"/>
    <col min="3845" max="3846" width="21.28515625" style="7" customWidth="1"/>
    <col min="3847" max="3847" width="12.7109375" style="7" customWidth="1"/>
    <col min="3848" max="3848" width="14.7109375" style="7" bestFit="1" customWidth="1"/>
    <col min="3849" max="3854" width="13.42578125" style="7" customWidth="1"/>
    <col min="3855" max="3855" width="14" style="7" customWidth="1"/>
    <col min="3856" max="3856" width="13.5703125" style="7" bestFit="1" customWidth="1"/>
    <col min="3857" max="3857" width="15.28515625" style="7" bestFit="1" customWidth="1"/>
    <col min="3858" max="3858" width="12.85546875" style="7" bestFit="1" customWidth="1"/>
    <col min="3859" max="4096" width="11.42578125" style="7"/>
    <col min="4097" max="4098" width="3" style="7" customWidth="1"/>
    <col min="4099" max="4099" width="45.42578125" style="7" customWidth="1"/>
    <col min="4100" max="4100" width="21" style="7" bestFit="1" customWidth="1"/>
    <col min="4101" max="4102" width="21.28515625" style="7" customWidth="1"/>
    <col min="4103" max="4103" width="12.7109375" style="7" customWidth="1"/>
    <col min="4104" max="4104" width="14.7109375" style="7" bestFit="1" customWidth="1"/>
    <col min="4105" max="4110" width="13.42578125" style="7" customWidth="1"/>
    <col min="4111" max="4111" width="14" style="7" customWidth="1"/>
    <col min="4112" max="4112" width="13.5703125" style="7" bestFit="1" customWidth="1"/>
    <col min="4113" max="4113" width="15.28515625" style="7" bestFit="1" customWidth="1"/>
    <col min="4114" max="4114" width="12.85546875" style="7" bestFit="1" customWidth="1"/>
    <col min="4115" max="4352" width="11.42578125" style="7"/>
    <col min="4353" max="4354" width="3" style="7" customWidth="1"/>
    <col min="4355" max="4355" width="45.42578125" style="7" customWidth="1"/>
    <col min="4356" max="4356" width="21" style="7" bestFit="1" customWidth="1"/>
    <col min="4357" max="4358" width="21.28515625" style="7" customWidth="1"/>
    <col min="4359" max="4359" width="12.7109375" style="7" customWidth="1"/>
    <col min="4360" max="4360" width="14.7109375" style="7" bestFit="1" customWidth="1"/>
    <col min="4361" max="4366" width="13.42578125" style="7" customWidth="1"/>
    <col min="4367" max="4367" width="14" style="7" customWidth="1"/>
    <col min="4368" max="4368" width="13.5703125" style="7" bestFit="1" customWidth="1"/>
    <col min="4369" max="4369" width="15.28515625" style="7" bestFit="1" customWidth="1"/>
    <col min="4370" max="4370" width="12.85546875" style="7" bestFit="1" customWidth="1"/>
    <col min="4371" max="4608" width="11.42578125" style="7"/>
    <col min="4609" max="4610" width="3" style="7" customWidth="1"/>
    <col min="4611" max="4611" width="45.42578125" style="7" customWidth="1"/>
    <col min="4612" max="4612" width="21" style="7" bestFit="1" customWidth="1"/>
    <col min="4613" max="4614" width="21.28515625" style="7" customWidth="1"/>
    <col min="4615" max="4615" width="12.7109375" style="7" customWidth="1"/>
    <col min="4616" max="4616" width="14.7109375" style="7" bestFit="1" customWidth="1"/>
    <col min="4617" max="4622" width="13.42578125" style="7" customWidth="1"/>
    <col min="4623" max="4623" width="14" style="7" customWidth="1"/>
    <col min="4624" max="4624" width="13.5703125" style="7" bestFit="1" customWidth="1"/>
    <col min="4625" max="4625" width="15.28515625" style="7" bestFit="1" customWidth="1"/>
    <col min="4626" max="4626" width="12.85546875" style="7" bestFit="1" customWidth="1"/>
    <col min="4627" max="4864" width="11.42578125" style="7"/>
    <col min="4865" max="4866" width="3" style="7" customWidth="1"/>
    <col min="4867" max="4867" width="45.42578125" style="7" customWidth="1"/>
    <col min="4868" max="4868" width="21" style="7" bestFit="1" customWidth="1"/>
    <col min="4869" max="4870" width="21.28515625" style="7" customWidth="1"/>
    <col min="4871" max="4871" width="12.7109375" style="7" customWidth="1"/>
    <col min="4872" max="4872" width="14.7109375" style="7" bestFit="1" customWidth="1"/>
    <col min="4873" max="4878" width="13.42578125" style="7" customWidth="1"/>
    <col min="4879" max="4879" width="14" style="7" customWidth="1"/>
    <col min="4880" max="4880" width="13.5703125" style="7" bestFit="1" customWidth="1"/>
    <col min="4881" max="4881" width="15.28515625" style="7" bestFit="1" customWidth="1"/>
    <col min="4882" max="4882" width="12.85546875" style="7" bestFit="1" customWidth="1"/>
    <col min="4883" max="5120" width="11.42578125" style="7"/>
    <col min="5121" max="5122" width="3" style="7" customWidth="1"/>
    <col min="5123" max="5123" width="45.42578125" style="7" customWidth="1"/>
    <col min="5124" max="5124" width="21" style="7" bestFit="1" customWidth="1"/>
    <col min="5125" max="5126" width="21.28515625" style="7" customWidth="1"/>
    <col min="5127" max="5127" width="12.7109375" style="7" customWidth="1"/>
    <col min="5128" max="5128" width="14.7109375" style="7" bestFit="1" customWidth="1"/>
    <col min="5129" max="5134" width="13.42578125" style="7" customWidth="1"/>
    <col min="5135" max="5135" width="14" style="7" customWidth="1"/>
    <col min="5136" max="5136" width="13.5703125" style="7" bestFit="1" customWidth="1"/>
    <col min="5137" max="5137" width="15.28515625" style="7" bestFit="1" customWidth="1"/>
    <col min="5138" max="5138" width="12.85546875" style="7" bestFit="1" customWidth="1"/>
    <col min="5139" max="5376" width="11.42578125" style="7"/>
    <col min="5377" max="5378" width="3" style="7" customWidth="1"/>
    <col min="5379" max="5379" width="45.42578125" style="7" customWidth="1"/>
    <col min="5380" max="5380" width="21" style="7" bestFit="1" customWidth="1"/>
    <col min="5381" max="5382" width="21.28515625" style="7" customWidth="1"/>
    <col min="5383" max="5383" width="12.7109375" style="7" customWidth="1"/>
    <col min="5384" max="5384" width="14.7109375" style="7" bestFit="1" customWidth="1"/>
    <col min="5385" max="5390" width="13.42578125" style="7" customWidth="1"/>
    <col min="5391" max="5391" width="14" style="7" customWidth="1"/>
    <col min="5392" max="5392" width="13.5703125" style="7" bestFit="1" customWidth="1"/>
    <col min="5393" max="5393" width="15.28515625" style="7" bestFit="1" customWidth="1"/>
    <col min="5394" max="5394" width="12.85546875" style="7" bestFit="1" customWidth="1"/>
    <col min="5395" max="5632" width="11.42578125" style="7"/>
    <col min="5633" max="5634" width="3" style="7" customWidth="1"/>
    <col min="5635" max="5635" width="45.42578125" style="7" customWidth="1"/>
    <col min="5636" max="5636" width="21" style="7" bestFit="1" customWidth="1"/>
    <col min="5637" max="5638" width="21.28515625" style="7" customWidth="1"/>
    <col min="5639" max="5639" width="12.7109375" style="7" customWidth="1"/>
    <col min="5640" max="5640" width="14.7109375" style="7" bestFit="1" customWidth="1"/>
    <col min="5641" max="5646" width="13.42578125" style="7" customWidth="1"/>
    <col min="5647" max="5647" width="14" style="7" customWidth="1"/>
    <col min="5648" max="5648" width="13.5703125" style="7" bestFit="1" customWidth="1"/>
    <col min="5649" max="5649" width="15.28515625" style="7" bestFit="1" customWidth="1"/>
    <col min="5650" max="5650" width="12.85546875" style="7" bestFit="1" customWidth="1"/>
    <col min="5651" max="5888" width="11.42578125" style="7"/>
    <col min="5889" max="5890" width="3" style="7" customWidth="1"/>
    <col min="5891" max="5891" width="45.42578125" style="7" customWidth="1"/>
    <col min="5892" max="5892" width="21" style="7" bestFit="1" customWidth="1"/>
    <col min="5893" max="5894" width="21.28515625" style="7" customWidth="1"/>
    <col min="5895" max="5895" width="12.7109375" style="7" customWidth="1"/>
    <col min="5896" max="5896" width="14.7109375" style="7" bestFit="1" customWidth="1"/>
    <col min="5897" max="5902" width="13.42578125" style="7" customWidth="1"/>
    <col min="5903" max="5903" width="14" style="7" customWidth="1"/>
    <col min="5904" max="5904" width="13.5703125" style="7" bestFit="1" customWidth="1"/>
    <col min="5905" max="5905" width="15.28515625" style="7" bestFit="1" customWidth="1"/>
    <col min="5906" max="5906" width="12.85546875" style="7" bestFit="1" customWidth="1"/>
    <col min="5907" max="6144" width="11.42578125" style="7"/>
    <col min="6145" max="6146" width="3" style="7" customWidth="1"/>
    <col min="6147" max="6147" width="45.42578125" style="7" customWidth="1"/>
    <col min="6148" max="6148" width="21" style="7" bestFit="1" customWidth="1"/>
    <col min="6149" max="6150" width="21.28515625" style="7" customWidth="1"/>
    <col min="6151" max="6151" width="12.7109375" style="7" customWidth="1"/>
    <col min="6152" max="6152" width="14.7109375" style="7" bestFit="1" customWidth="1"/>
    <col min="6153" max="6158" width="13.42578125" style="7" customWidth="1"/>
    <col min="6159" max="6159" width="14" style="7" customWidth="1"/>
    <col min="6160" max="6160" width="13.5703125" style="7" bestFit="1" customWidth="1"/>
    <col min="6161" max="6161" width="15.28515625" style="7" bestFit="1" customWidth="1"/>
    <col min="6162" max="6162" width="12.85546875" style="7" bestFit="1" customWidth="1"/>
    <col min="6163" max="6400" width="11.42578125" style="7"/>
    <col min="6401" max="6402" width="3" style="7" customWidth="1"/>
    <col min="6403" max="6403" width="45.42578125" style="7" customWidth="1"/>
    <col min="6404" max="6404" width="21" style="7" bestFit="1" customWidth="1"/>
    <col min="6405" max="6406" width="21.28515625" style="7" customWidth="1"/>
    <col min="6407" max="6407" width="12.7109375" style="7" customWidth="1"/>
    <col min="6408" max="6408" width="14.7109375" style="7" bestFit="1" customWidth="1"/>
    <col min="6409" max="6414" width="13.42578125" style="7" customWidth="1"/>
    <col min="6415" max="6415" width="14" style="7" customWidth="1"/>
    <col min="6416" max="6416" width="13.5703125" style="7" bestFit="1" customWidth="1"/>
    <col min="6417" max="6417" width="15.28515625" style="7" bestFit="1" customWidth="1"/>
    <col min="6418" max="6418" width="12.85546875" style="7" bestFit="1" customWidth="1"/>
    <col min="6419" max="6656" width="11.42578125" style="7"/>
    <col min="6657" max="6658" width="3" style="7" customWidth="1"/>
    <col min="6659" max="6659" width="45.42578125" style="7" customWidth="1"/>
    <col min="6660" max="6660" width="21" style="7" bestFit="1" customWidth="1"/>
    <col min="6661" max="6662" width="21.28515625" style="7" customWidth="1"/>
    <col min="6663" max="6663" width="12.7109375" style="7" customWidth="1"/>
    <col min="6664" max="6664" width="14.7109375" style="7" bestFit="1" customWidth="1"/>
    <col min="6665" max="6670" width="13.42578125" style="7" customWidth="1"/>
    <col min="6671" max="6671" width="14" style="7" customWidth="1"/>
    <col min="6672" max="6672" width="13.5703125" style="7" bestFit="1" customWidth="1"/>
    <col min="6673" max="6673" width="15.28515625" style="7" bestFit="1" customWidth="1"/>
    <col min="6674" max="6674" width="12.85546875" style="7" bestFit="1" customWidth="1"/>
    <col min="6675" max="6912" width="11.42578125" style="7"/>
    <col min="6913" max="6914" width="3" style="7" customWidth="1"/>
    <col min="6915" max="6915" width="45.42578125" style="7" customWidth="1"/>
    <col min="6916" max="6916" width="21" style="7" bestFit="1" customWidth="1"/>
    <col min="6917" max="6918" width="21.28515625" style="7" customWidth="1"/>
    <col min="6919" max="6919" width="12.7109375" style="7" customWidth="1"/>
    <col min="6920" max="6920" width="14.7109375" style="7" bestFit="1" customWidth="1"/>
    <col min="6921" max="6926" width="13.42578125" style="7" customWidth="1"/>
    <col min="6927" max="6927" width="14" style="7" customWidth="1"/>
    <col min="6928" max="6928" width="13.5703125" style="7" bestFit="1" customWidth="1"/>
    <col min="6929" max="6929" width="15.28515625" style="7" bestFit="1" customWidth="1"/>
    <col min="6930" max="6930" width="12.85546875" style="7" bestFit="1" customWidth="1"/>
    <col min="6931" max="7168" width="11.42578125" style="7"/>
    <col min="7169" max="7170" width="3" style="7" customWidth="1"/>
    <col min="7171" max="7171" width="45.42578125" style="7" customWidth="1"/>
    <col min="7172" max="7172" width="21" style="7" bestFit="1" customWidth="1"/>
    <col min="7173" max="7174" width="21.28515625" style="7" customWidth="1"/>
    <col min="7175" max="7175" width="12.7109375" style="7" customWidth="1"/>
    <col min="7176" max="7176" width="14.7109375" style="7" bestFit="1" customWidth="1"/>
    <col min="7177" max="7182" width="13.42578125" style="7" customWidth="1"/>
    <col min="7183" max="7183" width="14" style="7" customWidth="1"/>
    <col min="7184" max="7184" width="13.5703125" style="7" bestFit="1" customWidth="1"/>
    <col min="7185" max="7185" width="15.28515625" style="7" bestFit="1" customWidth="1"/>
    <col min="7186" max="7186" width="12.85546875" style="7" bestFit="1" customWidth="1"/>
    <col min="7187" max="7424" width="11.42578125" style="7"/>
    <col min="7425" max="7426" width="3" style="7" customWidth="1"/>
    <col min="7427" max="7427" width="45.42578125" style="7" customWidth="1"/>
    <col min="7428" max="7428" width="21" style="7" bestFit="1" customWidth="1"/>
    <col min="7429" max="7430" width="21.28515625" style="7" customWidth="1"/>
    <col min="7431" max="7431" width="12.7109375" style="7" customWidth="1"/>
    <col min="7432" max="7432" width="14.7109375" style="7" bestFit="1" customWidth="1"/>
    <col min="7433" max="7438" width="13.42578125" style="7" customWidth="1"/>
    <col min="7439" max="7439" width="14" style="7" customWidth="1"/>
    <col min="7440" max="7440" width="13.5703125" style="7" bestFit="1" customWidth="1"/>
    <col min="7441" max="7441" width="15.28515625" style="7" bestFit="1" customWidth="1"/>
    <col min="7442" max="7442" width="12.85546875" style="7" bestFit="1" customWidth="1"/>
    <col min="7443" max="7680" width="11.42578125" style="7"/>
    <col min="7681" max="7682" width="3" style="7" customWidth="1"/>
    <col min="7683" max="7683" width="45.42578125" style="7" customWidth="1"/>
    <col min="7684" max="7684" width="21" style="7" bestFit="1" customWidth="1"/>
    <col min="7685" max="7686" width="21.28515625" style="7" customWidth="1"/>
    <col min="7687" max="7687" width="12.7109375" style="7" customWidth="1"/>
    <col min="7688" max="7688" width="14.7109375" style="7" bestFit="1" customWidth="1"/>
    <col min="7689" max="7694" width="13.42578125" style="7" customWidth="1"/>
    <col min="7695" max="7695" width="14" style="7" customWidth="1"/>
    <col min="7696" max="7696" width="13.5703125" style="7" bestFit="1" customWidth="1"/>
    <col min="7697" max="7697" width="15.28515625" style="7" bestFit="1" customWidth="1"/>
    <col min="7698" max="7698" width="12.85546875" style="7" bestFit="1" customWidth="1"/>
    <col min="7699" max="7936" width="11.42578125" style="7"/>
    <col min="7937" max="7938" width="3" style="7" customWidth="1"/>
    <col min="7939" max="7939" width="45.42578125" style="7" customWidth="1"/>
    <col min="7940" max="7940" width="21" style="7" bestFit="1" customWidth="1"/>
    <col min="7941" max="7942" width="21.28515625" style="7" customWidth="1"/>
    <col min="7943" max="7943" width="12.7109375" style="7" customWidth="1"/>
    <col min="7944" max="7944" width="14.7109375" style="7" bestFit="1" customWidth="1"/>
    <col min="7945" max="7950" width="13.42578125" style="7" customWidth="1"/>
    <col min="7951" max="7951" width="14" style="7" customWidth="1"/>
    <col min="7952" max="7952" width="13.5703125" style="7" bestFit="1" customWidth="1"/>
    <col min="7953" max="7953" width="15.28515625" style="7" bestFit="1" customWidth="1"/>
    <col min="7954" max="7954" width="12.85546875" style="7" bestFit="1" customWidth="1"/>
    <col min="7955" max="8192" width="11.42578125" style="7"/>
    <col min="8193" max="8194" width="3" style="7" customWidth="1"/>
    <col min="8195" max="8195" width="45.42578125" style="7" customWidth="1"/>
    <col min="8196" max="8196" width="21" style="7" bestFit="1" customWidth="1"/>
    <col min="8197" max="8198" width="21.28515625" style="7" customWidth="1"/>
    <col min="8199" max="8199" width="12.7109375" style="7" customWidth="1"/>
    <col min="8200" max="8200" width="14.7109375" style="7" bestFit="1" customWidth="1"/>
    <col min="8201" max="8206" width="13.42578125" style="7" customWidth="1"/>
    <col min="8207" max="8207" width="14" style="7" customWidth="1"/>
    <col min="8208" max="8208" width="13.5703125" style="7" bestFit="1" customWidth="1"/>
    <col min="8209" max="8209" width="15.28515625" style="7" bestFit="1" customWidth="1"/>
    <col min="8210" max="8210" width="12.85546875" style="7" bestFit="1" customWidth="1"/>
    <col min="8211" max="8448" width="11.42578125" style="7"/>
    <col min="8449" max="8450" width="3" style="7" customWidth="1"/>
    <col min="8451" max="8451" width="45.42578125" style="7" customWidth="1"/>
    <col min="8452" max="8452" width="21" style="7" bestFit="1" customWidth="1"/>
    <col min="8453" max="8454" width="21.28515625" style="7" customWidth="1"/>
    <col min="8455" max="8455" width="12.7109375" style="7" customWidth="1"/>
    <col min="8456" max="8456" width="14.7109375" style="7" bestFit="1" customWidth="1"/>
    <col min="8457" max="8462" width="13.42578125" style="7" customWidth="1"/>
    <col min="8463" max="8463" width="14" style="7" customWidth="1"/>
    <col min="8464" max="8464" width="13.5703125" style="7" bestFit="1" customWidth="1"/>
    <col min="8465" max="8465" width="15.28515625" style="7" bestFit="1" customWidth="1"/>
    <col min="8466" max="8466" width="12.85546875" style="7" bestFit="1" customWidth="1"/>
    <col min="8467" max="8704" width="11.42578125" style="7"/>
    <col min="8705" max="8706" width="3" style="7" customWidth="1"/>
    <col min="8707" max="8707" width="45.42578125" style="7" customWidth="1"/>
    <col min="8708" max="8708" width="21" style="7" bestFit="1" customWidth="1"/>
    <col min="8709" max="8710" width="21.28515625" style="7" customWidth="1"/>
    <col min="8711" max="8711" width="12.7109375" style="7" customWidth="1"/>
    <col min="8712" max="8712" width="14.7109375" style="7" bestFit="1" customWidth="1"/>
    <col min="8713" max="8718" width="13.42578125" style="7" customWidth="1"/>
    <col min="8719" max="8719" width="14" style="7" customWidth="1"/>
    <col min="8720" max="8720" width="13.5703125" style="7" bestFit="1" customWidth="1"/>
    <col min="8721" max="8721" width="15.28515625" style="7" bestFit="1" customWidth="1"/>
    <col min="8722" max="8722" width="12.85546875" style="7" bestFit="1" customWidth="1"/>
    <col min="8723" max="8960" width="11.42578125" style="7"/>
    <col min="8961" max="8962" width="3" style="7" customWidth="1"/>
    <col min="8963" max="8963" width="45.42578125" style="7" customWidth="1"/>
    <col min="8964" max="8964" width="21" style="7" bestFit="1" customWidth="1"/>
    <col min="8965" max="8966" width="21.28515625" style="7" customWidth="1"/>
    <col min="8967" max="8967" width="12.7109375" style="7" customWidth="1"/>
    <col min="8968" max="8968" width="14.7109375" style="7" bestFit="1" customWidth="1"/>
    <col min="8969" max="8974" width="13.42578125" style="7" customWidth="1"/>
    <col min="8975" max="8975" width="14" style="7" customWidth="1"/>
    <col min="8976" max="8976" width="13.5703125" style="7" bestFit="1" customWidth="1"/>
    <col min="8977" max="8977" width="15.28515625" style="7" bestFit="1" customWidth="1"/>
    <col min="8978" max="8978" width="12.85546875" style="7" bestFit="1" customWidth="1"/>
    <col min="8979" max="9216" width="11.42578125" style="7"/>
    <col min="9217" max="9218" width="3" style="7" customWidth="1"/>
    <col min="9219" max="9219" width="45.42578125" style="7" customWidth="1"/>
    <col min="9220" max="9220" width="21" style="7" bestFit="1" customWidth="1"/>
    <col min="9221" max="9222" width="21.28515625" style="7" customWidth="1"/>
    <col min="9223" max="9223" width="12.7109375" style="7" customWidth="1"/>
    <col min="9224" max="9224" width="14.7109375" style="7" bestFit="1" customWidth="1"/>
    <col min="9225" max="9230" width="13.42578125" style="7" customWidth="1"/>
    <col min="9231" max="9231" width="14" style="7" customWidth="1"/>
    <col min="9232" max="9232" width="13.5703125" style="7" bestFit="1" customWidth="1"/>
    <col min="9233" max="9233" width="15.28515625" style="7" bestFit="1" customWidth="1"/>
    <col min="9234" max="9234" width="12.85546875" style="7" bestFit="1" customWidth="1"/>
    <col min="9235" max="9472" width="11.42578125" style="7"/>
    <col min="9473" max="9474" width="3" style="7" customWidth="1"/>
    <col min="9475" max="9475" width="45.42578125" style="7" customWidth="1"/>
    <col min="9476" max="9476" width="21" style="7" bestFit="1" customWidth="1"/>
    <col min="9477" max="9478" width="21.28515625" style="7" customWidth="1"/>
    <col min="9479" max="9479" width="12.7109375" style="7" customWidth="1"/>
    <col min="9480" max="9480" width="14.7109375" style="7" bestFit="1" customWidth="1"/>
    <col min="9481" max="9486" width="13.42578125" style="7" customWidth="1"/>
    <col min="9487" max="9487" width="14" style="7" customWidth="1"/>
    <col min="9488" max="9488" width="13.5703125" style="7" bestFit="1" customWidth="1"/>
    <col min="9489" max="9489" width="15.28515625" style="7" bestFit="1" customWidth="1"/>
    <col min="9490" max="9490" width="12.85546875" style="7" bestFit="1" customWidth="1"/>
    <col min="9491" max="9728" width="11.42578125" style="7"/>
    <col min="9729" max="9730" width="3" style="7" customWidth="1"/>
    <col min="9731" max="9731" width="45.42578125" style="7" customWidth="1"/>
    <col min="9732" max="9732" width="21" style="7" bestFit="1" customWidth="1"/>
    <col min="9733" max="9734" width="21.28515625" style="7" customWidth="1"/>
    <col min="9735" max="9735" width="12.7109375" style="7" customWidth="1"/>
    <col min="9736" max="9736" width="14.7109375" style="7" bestFit="1" customWidth="1"/>
    <col min="9737" max="9742" width="13.42578125" style="7" customWidth="1"/>
    <col min="9743" max="9743" width="14" style="7" customWidth="1"/>
    <col min="9744" max="9744" width="13.5703125" style="7" bestFit="1" customWidth="1"/>
    <col min="9745" max="9745" width="15.28515625" style="7" bestFit="1" customWidth="1"/>
    <col min="9746" max="9746" width="12.85546875" style="7" bestFit="1" customWidth="1"/>
    <col min="9747" max="9984" width="11.42578125" style="7"/>
    <col min="9985" max="9986" width="3" style="7" customWidth="1"/>
    <col min="9987" max="9987" width="45.42578125" style="7" customWidth="1"/>
    <col min="9988" max="9988" width="21" style="7" bestFit="1" customWidth="1"/>
    <col min="9989" max="9990" width="21.28515625" style="7" customWidth="1"/>
    <col min="9991" max="9991" width="12.7109375" style="7" customWidth="1"/>
    <col min="9992" max="9992" width="14.7109375" style="7" bestFit="1" customWidth="1"/>
    <col min="9993" max="9998" width="13.42578125" style="7" customWidth="1"/>
    <col min="9999" max="9999" width="14" style="7" customWidth="1"/>
    <col min="10000" max="10000" width="13.5703125" style="7" bestFit="1" customWidth="1"/>
    <col min="10001" max="10001" width="15.28515625" style="7" bestFit="1" customWidth="1"/>
    <col min="10002" max="10002" width="12.85546875" style="7" bestFit="1" customWidth="1"/>
    <col min="10003" max="10240" width="11.42578125" style="7"/>
    <col min="10241" max="10242" width="3" style="7" customWidth="1"/>
    <col min="10243" max="10243" width="45.42578125" style="7" customWidth="1"/>
    <col min="10244" max="10244" width="21" style="7" bestFit="1" customWidth="1"/>
    <col min="10245" max="10246" width="21.28515625" style="7" customWidth="1"/>
    <col min="10247" max="10247" width="12.7109375" style="7" customWidth="1"/>
    <col min="10248" max="10248" width="14.7109375" style="7" bestFit="1" customWidth="1"/>
    <col min="10249" max="10254" width="13.42578125" style="7" customWidth="1"/>
    <col min="10255" max="10255" width="14" style="7" customWidth="1"/>
    <col min="10256" max="10256" width="13.5703125" style="7" bestFit="1" customWidth="1"/>
    <col min="10257" max="10257" width="15.28515625" style="7" bestFit="1" customWidth="1"/>
    <col min="10258" max="10258" width="12.85546875" style="7" bestFit="1" customWidth="1"/>
    <col min="10259" max="10496" width="11.42578125" style="7"/>
    <col min="10497" max="10498" width="3" style="7" customWidth="1"/>
    <col min="10499" max="10499" width="45.42578125" style="7" customWidth="1"/>
    <col min="10500" max="10500" width="21" style="7" bestFit="1" customWidth="1"/>
    <col min="10501" max="10502" width="21.28515625" style="7" customWidth="1"/>
    <col min="10503" max="10503" width="12.7109375" style="7" customWidth="1"/>
    <col min="10504" max="10504" width="14.7109375" style="7" bestFit="1" customWidth="1"/>
    <col min="10505" max="10510" width="13.42578125" style="7" customWidth="1"/>
    <col min="10511" max="10511" width="14" style="7" customWidth="1"/>
    <col min="10512" max="10512" width="13.5703125" style="7" bestFit="1" customWidth="1"/>
    <col min="10513" max="10513" width="15.28515625" style="7" bestFit="1" customWidth="1"/>
    <col min="10514" max="10514" width="12.85546875" style="7" bestFit="1" customWidth="1"/>
    <col min="10515" max="10752" width="11.42578125" style="7"/>
    <col min="10753" max="10754" width="3" style="7" customWidth="1"/>
    <col min="10755" max="10755" width="45.42578125" style="7" customWidth="1"/>
    <col min="10756" max="10756" width="21" style="7" bestFit="1" customWidth="1"/>
    <col min="10757" max="10758" width="21.28515625" style="7" customWidth="1"/>
    <col min="10759" max="10759" width="12.7109375" style="7" customWidth="1"/>
    <col min="10760" max="10760" width="14.7109375" style="7" bestFit="1" customWidth="1"/>
    <col min="10761" max="10766" width="13.42578125" style="7" customWidth="1"/>
    <col min="10767" max="10767" width="14" style="7" customWidth="1"/>
    <col min="10768" max="10768" width="13.5703125" style="7" bestFit="1" customWidth="1"/>
    <col min="10769" max="10769" width="15.28515625" style="7" bestFit="1" customWidth="1"/>
    <col min="10770" max="10770" width="12.85546875" style="7" bestFit="1" customWidth="1"/>
    <col min="10771" max="11008" width="11.42578125" style="7"/>
    <col min="11009" max="11010" width="3" style="7" customWidth="1"/>
    <col min="11011" max="11011" width="45.42578125" style="7" customWidth="1"/>
    <col min="11012" max="11012" width="21" style="7" bestFit="1" customWidth="1"/>
    <col min="11013" max="11014" width="21.28515625" style="7" customWidth="1"/>
    <col min="11015" max="11015" width="12.7109375" style="7" customWidth="1"/>
    <col min="11016" max="11016" width="14.7109375" style="7" bestFit="1" customWidth="1"/>
    <col min="11017" max="11022" width="13.42578125" style="7" customWidth="1"/>
    <col min="11023" max="11023" width="14" style="7" customWidth="1"/>
    <col min="11024" max="11024" width="13.5703125" style="7" bestFit="1" customWidth="1"/>
    <col min="11025" max="11025" width="15.28515625" style="7" bestFit="1" customWidth="1"/>
    <col min="11026" max="11026" width="12.85546875" style="7" bestFit="1" customWidth="1"/>
    <col min="11027" max="11264" width="11.42578125" style="7"/>
    <col min="11265" max="11266" width="3" style="7" customWidth="1"/>
    <col min="11267" max="11267" width="45.42578125" style="7" customWidth="1"/>
    <col min="11268" max="11268" width="21" style="7" bestFit="1" customWidth="1"/>
    <col min="11269" max="11270" width="21.28515625" style="7" customWidth="1"/>
    <col min="11271" max="11271" width="12.7109375" style="7" customWidth="1"/>
    <col min="11272" max="11272" width="14.7109375" style="7" bestFit="1" customWidth="1"/>
    <col min="11273" max="11278" width="13.42578125" style="7" customWidth="1"/>
    <col min="11279" max="11279" width="14" style="7" customWidth="1"/>
    <col min="11280" max="11280" width="13.5703125" style="7" bestFit="1" customWidth="1"/>
    <col min="11281" max="11281" width="15.28515625" style="7" bestFit="1" customWidth="1"/>
    <col min="11282" max="11282" width="12.85546875" style="7" bestFit="1" customWidth="1"/>
    <col min="11283" max="11520" width="11.42578125" style="7"/>
    <col min="11521" max="11522" width="3" style="7" customWidth="1"/>
    <col min="11523" max="11523" width="45.42578125" style="7" customWidth="1"/>
    <col min="11524" max="11524" width="21" style="7" bestFit="1" customWidth="1"/>
    <col min="11525" max="11526" width="21.28515625" style="7" customWidth="1"/>
    <col min="11527" max="11527" width="12.7109375" style="7" customWidth="1"/>
    <col min="11528" max="11528" width="14.7109375" style="7" bestFit="1" customWidth="1"/>
    <col min="11529" max="11534" width="13.42578125" style="7" customWidth="1"/>
    <col min="11535" max="11535" width="14" style="7" customWidth="1"/>
    <col min="11536" max="11536" width="13.5703125" style="7" bestFit="1" customWidth="1"/>
    <col min="11537" max="11537" width="15.28515625" style="7" bestFit="1" customWidth="1"/>
    <col min="11538" max="11538" width="12.85546875" style="7" bestFit="1" customWidth="1"/>
    <col min="11539" max="11776" width="11.42578125" style="7"/>
    <col min="11777" max="11778" width="3" style="7" customWidth="1"/>
    <col min="11779" max="11779" width="45.42578125" style="7" customWidth="1"/>
    <col min="11780" max="11780" width="21" style="7" bestFit="1" customWidth="1"/>
    <col min="11781" max="11782" width="21.28515625" style="7" customWidth="1"/>
    <col min="11783" max="11783" width="12.7109375" style="7" customWidth="1"/>
    <col min="11784" max="11784" width="14.7109375" style="7" bestFit="1" customWidth="1"/>
    <col min="11785" max="11790" width="13.42578125" style="7" customWidth="1"/>
    <col min="11791" max="11791" width="14" style="7" customWidth="1"/>
    <col min="11792" max="11792" width="13.5703125" style="7" bestFit="1" customWidth="1"/>
    <col min="11793" max="11793" width="15.28515625" style="7" bestFit="1" customWidth="1"/>
    <col min="11794" max="11794" width="12.85546875" style="7" bestFit="1" customWidth="1"/>
    <col min="11795" max="12032" width="11.42578125" style="7"/>
    <col min="12033" max="12034" width="3" style="7" customWidth="1"/>
    <col min="12035" max="12035" width="45.42578125" style="7" customWidth="1"/>
    <col min="12036" max="12036" width="21" style="7" bestFit="1" customWidth="1"/>
    <col min="12037" max="12038" width="21.28515625" style="7" customWidth="1"/>
    <col min="12039" max="12039" width="12.7109375" style="7" customWidth="1"/>
    <col min="12040" max="12040" width="14.7109375" style="7" bestFit="1" customWidth="1"/>
    <col min="12041" max="12046" width="13.42578125" style="7" customWidth="1"/>
    <col min="12047" max="12047" width="14" style="7" customWidth="1"/>
    <col min="12048" max="12048" width="13.5703125" style="7" bestFit="1" customWidth="1"/>
    <col min="12049" max="12049" width="15.28515625" style="7" bestFit="1" customWidth="1"/>
    <col min="12050" max="12050" width="12.85546875" style="7" bestFit="1" customWidth="1"/>
    <col min="12051" max="12288" width="11.42578125" style="7"/>
    <col min="12289" max="12290" width="3" style="7" customWidth="1"/>
    <col min="12291" max="12291" width="45.42578125" style="7" customWidth="1"/>
    <col min="12292" max="12292" width="21" style="7" bestFit="1" customWidth="1"/>
    <col min="12293" max="12294" width="21.28515625" style="7" customWidth="1"/>
    <col min="12295" max="12295" width="12.7109375" style="7" customWidth="1"/>
    <col min="12296" max="12296" width="14.7109375" style="7" bestFit="1" customWidth="1"/>
    <col min="12297" max="12302" width="13.42578125" style="7" customWidth="1"/>
    <col min="12303" max="12303" width="14" style="7" customWidth="1"/>
    <col min="12304" max="12304" width="13.5703125" style="7" bestFit="1" customWidth="1"/>
    <col min="12305" max="12305" width="15.28515625" style="7" bestFit="1" customWidth="1"/>
    <col min="12306" max="12306" width="12.85546875" style="7" bestFit="1" customWidth="1"/>
    <col min="12307" max="12544" width="11.42578125" style="7"/>
    <col min="12545" max="12546" width="3" style="7" customWidth="1"/>
    <col min="12547" max="12547" width="45.42578125" style="7" customWidth="1"/>
    <col min="12548" max="12548" width="21" style="7" bestFit="1" customWidth="1"/>
    <col min="12549" max="12550" width="21.28515625" style="7" customWidth="1"/>
    <col min="12551" max="12551" width="12.7109375" style="7" customWidth="1"/>
    <col min="12552" max="12552" width="14.7109375" style="7" bestFit="1" customWidth="1"/>
    <col min="12553" max="12558" width="13.42578125" style="7" customWidth="1"/>
    <col min="12559" max="12559" width="14" style="7" customWidth="1"/>
    <col min="12560" max="12560" width="13.5703125" style="7" bestFit="1" customWidth="1"/>
    <col min="12561" max="12561" width="15.28515625" style="7" bestFit="1" customWidth="1"/>
    <col min="12562" max="12562" width="12.85546875" style="7" bestFit="1" customWidth="1"/>
    <col min="12563" max="12800" width="11.42578125" style="7"/>
    <col min="12801" max="12802" width="3" style="7" customWidth="1"/>
    <col min="12803" max="12803" width="45.42578125" style="7" customWidth="1"/>
    <col min="12804" max="12804" width="21" style="7" bestFit="1" customWidth="1"/>
    <col min="12805" max="12806" width="21.28515625" style="7" customWidth="1"/>
    <col min="12807" max="12807" width="12.7109375" style="7" customWidth="1"/>
    <col min="12808" max="12808" width="14.7109375" style="7" bestFit="1" customWidth="1"/>
    <col min="12809" max="12814" width="13.42578125" style="7" customWidth="1"/>
    <col min="12815" max="12815" width="14" style="7" customWidth="1"/>
    <col min="12816" max="12816" width="13.5703125" style="7" bestFit="1" customWidth="1"/>
    <col min="12817" max="12817" width="15.28515625" style="7" bestFit="1" customWidth="1"/>
    <col min="12818" max="12818" width="12.85546875" style="7" bestFit="1" customWidth="1"/>
    <col min="12819" max="13056" width="11.42578125" style="7"/>
    <col min="13057" max="13058" width="3" style="7" customWidth="1"/>
    <col min="13059" max="13059" width="45.42578125" style="7" customWidth="1"/>
    <col min="13060" max="13060" width="21" style="7" bestFit="1" customWidth="1"/>
    <col min="13061" max="13062" width="21.28515625" style="7" customWidth="1"/>
    <col min="13063" max="13063" width="12.7109375" style="7" customWidth="1"/>
    <col min="13064" max="13064" width="14.7109375" style="7" bestFit="1" customWidth="1"/>
    <col min="13065" max="13070" width="13.42578125" style="7" customWidth="1"/>
    <col min="13071" max="13071" width="14" style="7" customWidth="1"/>
    <col min="13072" max="13072" width="13.5703125" style="7" bestFit="1" customWidth="1"/>
    <col min="13073" max="13073" width="15.28515625" style="7" bestFit="1" customWidth="1"/>
    <col min="13074" max="13074" width="12.85546875" style="7" bestFit="1" customWidth="1"/>
    <col min="13075" max="13312" width="11.42578125" style="7"/>
    <col min="13313" max="13314" width="3" style="7" customWidth="1"/>
    <col min="13315" max="13315" width="45.42578125" style="7" customWidth="1"/>
    <col min="13316" max="13316" width="21" style="7" bestFit="1" customWidth="1"/>
    <col min="13317" max="13318" width="21.28515625" style="7" customWidth="1"/>
    <col min="13319" max="13319" width="12.7109375" style="7" customWidth="1"/>
    <col min="13320" max="13320" width="14.7109375" style="7" bestFit="1" customWidth="1"/>
    <col min="13321" max="13326" width="13.42578125" style="7" customWidth="1"/>
    <col min="13327" max="13327" width="14" style="7" customWidth="1"/>
    <col min="13328" max="13328" width="13.5703125" style="7" bestFit="1" customWidth="1"/>
    <col min="13329" max="13329" width="15.28515625" style="7" bestFit="1" customWidth="1"/>
    <col min="13330" max="13330" width="12.85546875" style="7" bestFit="1" customWidth="1"/>
    <col min="13331" max="13568" width="11.42578125" style="7"/>
    <col min="13569" max="13570" width="3" style="7" customWidth="1"/>
    <col min="13571" max="13571" width="45.42578125" style="7" customWidth="1"/>
    <col min="13572" max="13572" width="21" style="7" bestFit="1" customWidth="1"/>
    <col min="13573" max="13574" width="21.28515625" style="7" customWidth="1"/>
    <col min="13575" max="13575" width="12.7109375" style="7" customWidth="1"/>
    <col min="13576" max="13576" width="14.7109375" style="7" bestFit="1" customWidth="1"/>
    <col min="13577" max="13582" width="13.42578125" style="7" customWidth="1"/>
    <col min="13583" max="13583" width="14" style="7" customWidth="1"/>
    <col min="13584" max="13584" width="13.5703125" style="7" bestFit="1" customWidth="1"/>
    <col min="13585" max="13585" width="15.28515625" style="7" bestFit="1" customWidth="1"/>
    <col min="13586" max="13586" width="12.85546875" style="7" bestFit="1" customWidth="1"/>
    <col min="13587" max="13824" width="11.42578125" style="7"/>
    <col min="13825" max="13826" width="3" style="7" customWidth="1"/>
    <col min="13827" max="13827" width="45.42578125" style="7" customWidth="1"/>
    <col min="13828" max="13828" width="21" style="7" bestFit="1" customWidth="1"/>
    <col min="13829" max="13830" width="21.28515625" style="7" customWidth="1"/>
    <col min="13831" max="13831" width="12.7109375" style="7" customWidth="1"/>
    <col min="13832" max="13832" width="14.7109375" style="7" bestFit="1" customWidth="1"/>
    <col min="13833" max="13838" width="13.42578125" style="7" customWidth="1"/>
    <col min="13839" max="13839" width="14" style="7" customWidth="1"/>
    <col min="13840" max="13840" width="13.5703125" style="7" bestFit="1" customWidth="1"/>
    <col min="13841" max="13841" width="15.28515625" style="7" bestFit="1" customWidth="1"/>
    <col min="13842" max="13842" width="12.85546875" style="7" bestFit="1" customWidth="1"/>
    <col min="13843" max="14080" width="11.42578125" style="7"/>
    <col min="14081" max="14082" width="3" style="7" customWidth="1"/>
    <col min="14083" max="14083" width="45.42578125" style="7" customWidth="1"/>
    <col min="14084" max="14084" width="21" style="7" bestFit="1" customWidth="1"/>
    <col min="14085" max="14086" width="21.28515625" style="7" customWidth="1"/>
    <col min="14087" max="14087" width="12.7109375" style="7" customWidth="1"/>
    <col min="14088" max="14088" width="14.7109375" style="7" bestFit="1" customWidth="1"/>
    <col min="14089" max="14094" width="13.42578125" style="7" customWidth="1"/>
    <col min="14095" max="14095" width="14" style="7" customWidth="1"/>
    <col min="14096" max="14096" width="13.5703125" style="7" bestFit="1" customWidth="1"/>
    <col min="14097" max="14097" width="15.28515625" style="7" bestFit="1" customWidth="1"/>
    <col min="14098" max="14098" width="12.85546875" style="7" bestFit="1" customWidth="1"/>
    <col min="14099" max="14336" width="11.42578125" style="7"/>
    <col min="14337" max="14338" width="3" style="7" customWidth="1"/>
    <col min="14339" max="14339" width="45.42578125" style="7" customWidth="1"/>
    <col min="14340" max="14340" width="21" style="7" bestFit="1" customWidth="1"/>
    <col min="14341" max="14342" width="21.28515625" style="7" customWidth="1"/>
    <col min="14343" max="14343" width="12.7109375" style="7" customWidth="1"/>
    <col min="14344" max="14344" width="14.7109375" style="7" bestFit="1" customWidth="1"/>
    <col min="14345" max="14350" width="13.42578125" style="7" customWidth="1"/>
    <col min="14351" max="14351" width="14" style="7" customWidth="1"/>
    <col min="14352" max="14352" width="13.5703125" style="7" bestFit="1" customWidth="1"/>
    <col min="14353" max="14353" width="15.28515625" style="7" bestFit="1" customWidth="1"/>
    <col min="14354" max="14354" width="12.85546875" style="7" bestFit="1" customWidth="1"/>
    <col min="14355" max="14592" width="11.42578125" style="7"/>
    <col min="14593" max="14594" width="3" style="7" customWidth="1"/>
    <col min="14595" max="14595" width="45.42578125" style="7" customWidth="1"/>
    <col min="14596" max="14596" width="21" style="7" bestFit="1" customWidth="1"/>
    <col min="14597" max="14598" width="21.28515625" style="7" customWidth="1"/>
    <col min="14599" max="14599" width="12.7109375" style="7" customWidth="1"/>
    <col min="14600" max="14600" width="14.7109375" style="7" bestFit="1" customWidth="1"/>
    <col min="14601" max="14606" width="13.42578125" style="7" customWidth="1"/>
    <col min="14607" max="14607" width="14" style="7" customWidth="1"/>
    <col min="14608" max="14608" width="13.5703125" style="7" bestFit="1" customWidth="1"/>
    <col min="14609" max="14609" width="15.28515625" style="7" bestFit="1" customWidth="1"/>
    <col min="14610" max="14610" width="12.85546875" style="7" bestFit="1" customWidth="1"/>
    <col min="14611" max="14848" width="11.42578125" style="7"/>
    <col min="14849" max="14850" width="3" style="7" customWidth="1"/>
    <col min="14851" max="14851" width="45.42578125" style="7" customWidth="1"/>
    <col min="14852" max="14852" width="21" style="7" bestFit="1" customWidth="1"/>
    <col min="14853" max="14854" width="21.28515625" style="7" customWidth="1"/>
    <col min="14855" max="14855" width="12.7109375" style="7" customWidth="1"/>
    <col min="14856" max="14856" width="14.7109375" style="7" bestFit="1" customWidth="1"/>
    <col min="14857" max="14862" width="13.42578125" style="7" customWidth="1"/>
    <col min="14863" max="14863" width="14" style="7" customWidth="1"/>
    <col min="14864" max="14864" width="13.5703125" style="7" bestFit="1" customWidth="1"/>
    <col min="14865" max="14865" width="15.28515625" style="7" bestFit="1" customWidth="1"/>
    <col min="14866" max="14866" width="12.85546875" style="7" bestFit="1" customWidth="1"/>
    <col min="14867" max="15104" width="11.42578125" style="7"/>
    <col min="15105" max="15106" width="3" style="7" customWidth="1"/>
    <col min="15107" max="15107" width="45.42578125" style="7" customWidth="1"/>
    <col min="15108" max="15108" width="21" style="7" bestFit="1" customWidth="1"/>
    <col min="15109" max="15110" width="21.28515625" style="7" customWidth="1"/>
    <col min="15111" max="15111" width="12.7109375" style="7" customWidth="1"/>
    <col min="15112" max="15112" width="14.7109375" style="7" bestFit="1" customWidth="1"/>
    <col min="15113" max="15118" width="13.42578125" style="7" customWidth="1"/>
    <col min="15119" max="15119" width="14" style="7" customWidth="1"/>
    <col min="15120" max="15120" width="13.5703125" style="7" bestFit="1" customWidth="1"/>
    <col min="15121" max="15121" width="15.28515625" style="7" bestFit="1" customWidth="1"/>
    <col min="15122" max="15122" width="12.85546875" style="7" bestFit="1" customWidth="1"/>
    <col min="15123" max="15360" width="11.42578125" style="7"/>
    <col min="15361" max="15362" width="3" style="7" customWidth="1"/>
    <col min="15363" max="15363" width="45.42578125" style="7" customWidth="1"/>
    <col min="15364" max="15364" width="21" style="7" bestFit="1" customWidth="1"/>
    <col min="15365" max="15366" width="21.28515625" style="7" customWidth="1"/>
    <col min="15367" max="15367" width="12.7109375" style="7" customWidth="1"/>
    <col min="15368" max="15368" width="14.7109375" style="7" bestFit="1" customWidth="1"/>
    <col min="15369" max="15374" width="13.42578125" style="7" customWidth="1"/>
    <col min="15375" max="15375" width="14" style="7" customWidth="1"/>
    <col min="15376" max="15376" width="13.5703125" style="7" bestFit="1" customWidth="1"/>
    <col min="15377" max="15377" width="15.28515625" style="7" bestFit="1" customWidth="1"/>
    <col min="15378" max="15378" width="12.85546875" style="7" bestFit="1" customWidth="1"/>
    <col min="15379" max="15616" width="11.42578125" style="7"/>
    <col min="15617" max="15618" width="3" style="7" customWidth="1"/>
    <col min="15619" max="15619" width="45.42578125" style="7" customWidth="1"/>
    <col min="15620" max="15620" width="21" style="7" bestFit="1" customWidth="1"/>
    <col min="15621" max="15622" width="21.28515625" style="7" customWidth="1"/>
    <col min="15623" max="15623" width="12.7109375" style="7" customWidth="1"/>
    <col min="15624" max="15624" width="14.7109375" style="7" bestFit="1" customWidth="1"/>
    <col min="15625" max="15630" width="13.42578125" style="7" customWidth="1"/>
    <col min="15631" max="15631" width="14" style="7" customWidth="1"/>
    <col min="15632" max="15632" width="13.5703125" style="7" bestFit="1" customWidth="1"/>
    <col min="15633" max="15633" width="15.28515625" style="7" bestFit="1" customWidth="1"/>
    <col min="15634" max="15634" width="12.85546875" style="7" bestFit="1" customWidth="1"/>
    <col min="15635" max="15872" width="11.42578125" style="7"/>
    <col min="15873" max="15874" width="3" style="7" customWidth="1"/>
    <col min="15875" max="15875" width="45.42578125" style="7" customWidth="1"/>
    <col min="15876" max="15876" width="21" style="7" bestFit="1" customWidth="1"/>
    <col min="15877" max="15878" width="21.28515625" style="7" customWidth="1"/>
    <col min="15879" max="15879" width="12.7109375" style="7" customWidth="1"/>
    <col min="15880" max="15880" width="14.7109375" style="7" bestFit="1" customWidth="1"/>
    <col min="15881" max="15886" width="13.42578125" style="7" customWidth="1"/>
    <col min="15887" max="15887" width="14" style="7" customWidth="1"/>
    <col min="15888" max="15888" width="13.5703125" style="7" bestFit="1" customWidth="1"/>
    <col min="15889" max="15889" width="15.28515625" style="7" bestFit="1" customWidth="1"/>
    <col min="15890" max="15890" width="12.85546875" style="7" bestFit="1" customWidth="1"/>
    <col min="15891" max="16128" width="11.42578125" style="7"/>
    <col min="16129" max="16130" width="3" style="7" customWidth="1"/>
    <col min="16131" max="16131" width="45.42578125" style="7" customWidth="1"/>
    <col min="16132" max="16132" width="21" style="7" bestFit="1" customWidth="1"/>
    <col min="16133" max="16134" width="21.28515625" style="7" customWidth="1"/>
    <col min="16135" max="16135" width="12.7109375" style="7" customWidth="1"/>
    <col min="16136" max="16136" width="14.7109375" style="7" bestFit="1" customWidth="1"/>
    <col min="16137" max="16142" width="13.42578125" style="7" customWidth="1"/>
    <col min="16143" max="16143" width="14" style="7" customWidth="1"/>
    <col min="16144" max="16144" width="13.5703125" style="7" bestFit="1" customWidth="1"/>
    <col min="16145" max="16145" width="15.28515625" style="7" bestFit="1" customWidth="1"/>
    <col min="16146" max="16146" width="12.85546875" style="7" bestFit="1" customWidth="1"/>
    <col min="16147" max="16384" width="11.42578125" style="7"/>
  </cols>
  <sheetData>
    <row r="1" spans="1:18" ht="23.25" customHeight="1" x14ac:dyDescent="0.25">
      <c r="A1" s="1"/>
      <c r="B1" s="1"/>
      <c r="C1" s="2"/>
      <c r="D1" s="2"/>
      <c r="E1" s="2"/>
      <c r="F1" s="2"/>
      <c r="H1" s="2"/>
      <c r="I1" s="4"/>
      <c r="J1" s="5"/>
      <c r="K1" s="5"/>
      <c r="L1" s="5"/>
      <c r="M1" s="5"/>
      <c r="N1" s="5"/>
    </row>
    <row r="2" spans="1:18" ht="23.25" customHeight="1" x14ac:dyDescent="0.25">
      <c r="A2" s="1"/>
      <c r="B2" s="1"/>
      <c r="D2" s="2"/>
      <c r="E2" s="2"/>
      <c r="F2" s="2"/>
      <c r="I2" s="8"/>
      <c r="J2" s="8"/>
      <c r="K2" s="8"/>
      <c r="L2" s="8"/>
      <c r="M2" s="8"/>
      <c r="N2" s="8"/>
    </row>
    <row r="3" spans="1:18" ht="23.25" customHeight="1" x14ac:dyDescent="0.25">
      <c r="I3" s="5"/>
      <c r="J3" s="5"/>
      <c r="K3" s="5"/>
      <c r="L3" s="5"/>
      <c r="M3" s="5"/>
      <c r="N3" s="5"/>
    </row>
    <row r="4" spans="1:18" ht="26.25" customHeight="1" x14ac:dyDescent="0.25">
      <c r="A4" s="9" t="s">
        <v>0</v>
      </c>
      <c r="B4" s="9"/>
      <c r="C4" s="9"/>
      <c r="D4" s="10" t="s">
        <v>1</v>
      </c>
      <c r="E4" s="11" t="s">
        <v>2</v>
      </c>
      <c r="F4" s="11" t="s">
        <v>3</v>
      </c>
      <c r="G4" s="12" t="s">
        <v>4</v>
      </c>
      <c r="H4" s="10" t="s">
        <v>5</v>
      </c>
      <c r="I4" s="10" t="s">
        <v>6</v>
      </c>
      <c r="J4" s="10"/>
      <c r="K4" s="10"/>
      <c r="L4" s="10"/>
      <c r="M4" s="10"/>
      <c r="N4" s="10"/>
      <c r="P4" s="13"/>
    </row>
    <row r="5" spans="1:18" ht="26.25" customHeight="1" x14ac:dyDescent="0.25">
      <c r="A5" s="9"/>
      <c r="B5" s="9"/>
      <c r="C5" s="9"/>
      <c r="D5" s="10"/>
      <c r="E5" s="11"/>
      <c r="F5" s="11"/>
      <c r="G5" s="14">
        <v>45717</v>
      </c>
      <c r="H5" s="10"/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  <c r="P5" s="13"/>
    </row>
    <row r="6" spans="1:18" s="16" customFormat="1" ht="4.5" customHeight="1" x14ac:dyDescent="0.25">
      <c r="A6" s="7"/>
      <c r="C6" s="17"/>
      <c r="E6" s="18"/>
      <c r="F6" s="18"/>
      <c r="G6" s="19"/>
      <c r="H6" s="20"/>
      <c r="I6" s="21"/>
      <c r="J6" s="21"/>
      <c r="K6" s="21"/>
      <c r="L6" s="21"/>
      <c r="M6" s="21"/>
      <c r="N6" s="21"/>
      <c r="O6" s="6"/>
      <c r="P6" s="13"/>
      <c r="R6" s="7"/>
    </row>
    <row r="7" spans="1:18" x14ac:dyDescent="0.25">
      <c r="B7" s="17" t="s">
        <v>13</v>
      </c>
      <c r="G7" s="22"/>
      <c r="I7" s="23"/>
      <c r="J7" s="23"/>
      <c r="K7" s="23"/>
      <c r="L7" s="23"/>
      <c r="M7" s="23"/>
      <c r="N7" s="23"/>
      <c r="P7" s="13"/>
    </row>
    <row r="8" spans="1:18" ht="4.5" customHeight="1" x14ac:dyDescent="0.25">
      <c r="B8" s="17"/>
      <c r="E8" s="24"/>
      <c r="F8" s="24"/>
      <c r="G8" s="25"/>
      <c r="H8" s="26"/>
      <c r="I8" s="23"/>
      <c r="J8" s="23"/>
      <c r="K8" s="23"/>
      <c r="L8" s="23"/>
      <c r="M8" s="23"/>
      <c r="N8" s="23"/>
      <c r="P8" s="13"/>
    </row>
    <row r="9" spans="1:18" x14ac:dyDescent="0.25">
      <c r="B9" s="26"/>
      <c r="C9" s="26" t="s">
        <v>14</v>
      </c>
      <c r="D9" s="27" t="s">
        <v>15</v>
      </c>
      <c r="E9" s="28">
        <v>5.2499999999999998E-2</v>
      </c>
      <c r="F9" s="29" t="s">
        <v>16</v>
      </c>
      <c r="G9" s="29">
        <v>4428.8265470949991</v>
      </c>
      <c r="H9" s="2" t="s">
        <v>17</v>
      </c>
      <c r="I9" s="29">
        <v>95.164420184999983</v>
      </c>
      <c r="J9" s="29">
        <v>2478.7930171087987</v>
      </c>
      <c r="K9" s="29">
        <v>-1.5292868046963655</v>
      </c>
      <c r="L9" s="29">
        <v>-1.5292868046963655</v>
      </c>
      <c r="M9" s="29">
        <v>1857.926064230594</v>
      </c>
      <c r="N9" s="29">
        <v>0</v>
      </c>
      <c r="O9" s="30"/>
      <c r="P9" s="13"/>
      <c r="Q9" s="31"/>
      <c r="R9" s="31"/>
    </row>
    <row r="10" spans="1:18" x14ac:dyDescent="0.25">
      <c r="C10" s="26" t="s">
        <v>18</v>
      </c>
      <c r="D10" s="27" t="s">
        <v>15</v>
      </c>
      <c r="E10" s="28">
        <v>4.7079243645050083E-2</v>
      </c>
      <c r="F10" s="29" t="s">
        <v>19</v>
      </c>
      <c r="G10" s="29">
        <v>606.43345027999999</v>
      </c>
      <c r="H10" s="2" t="s">
        <v>20</v>
      </c>
      <c r="I10" s="29">
        <v>606.43345027999999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30"/>
      <c r="P10" s="13"/>
      <c r="Q10" s="31"/>
    </row>
    <row r="11" spans="1:18" hidden="1" outlineLevel="1" x14ac:dyDescent="0.25">
      <c r="B11" s="26"/>
      <c r="C11" s="26" t="s">
        <v>21</v>
      </c>
      <c r="D11" s="32" t="s">
        <v>15</v>
      </c>
      <c r="E11" s="28">
        <v>5.319999999999999E-2</v>
      </c>
      <c r="F11" s="29" t="s">
        <v>22</v>
      </c>
      <c r="G11" s="29">
        <v>342.31001452999999</v>
      </c>
      <c r="H11" s="2">
        <v>2026</v>
      </c>
      <c r="I11" s="29">
        <v>345.11054916000001</v>
      </c>
      <c r="J11" s="29">
        <v>-2.80053463</v>
      </c>
      <c r="K11" s="29">
        <v>0</v>
      </c>
      <c r="L11" s="29">
        <v>0</v>
      </c>
      <c r="M11" s="29">
        <v>0</v>
      </c>
      <c r="N11" s="29">
        <v>0</v>
      </c>
      <c r="O11" s="30"/>
      <c r="P11" s="13"/>
    </row>
    <row r="12" spans="1:18" hidden="1" outlineLevel="1" x14ac:dyDescent="0.25">
      <c r="C12" s="26" t="s">
        <v>18</v>
      </c>
      <c r="D12" s="27" t="s">
        <v>23</v>
      </c>
      <c r="E12" s="28">
        <v>9.2679406873039834E-3</v>
      </c>
      <c r="F12" s="29" t="s">
        <v>24</v>
      </c>
      <c r="G12" s="29">
        <v>593.02514586690188</v>
      </c>
      <c r="H12" s="2">
        <v>2026</v>
      </c>
      <c r="I12" s="29">
        <v>593.02514586690188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30"/>
      <c r="P12" s="13"/>
    </row>
    <row r="13" spans="1:18" s="16" customFormat="1" ht="4.5" customHeight="1" collapsed="1" thickBot="1" x14ac:dyDescent="0.3">
      <c r="A13" s="7"/>
      <c r="C13" s="17"/>
      <c r="E13" s="18"/>
      <c r="F13" s="18"/>
      <c r="G13" s="33"/>
      <c r="H13" s="20"/>
      <c r="I13" s="34"/>
      <c r="J13" s="34"/>
      <c r="K13" s="34"/>
      <c r="L13" s="34"/>
      <c r="M13" s="34"/>
      <c r="N13" s="34"/>
      <c r="O13" s="6"/>
      <c r="P13" s="13"/>
      <c r="R13" s="7"/>
    </row>
    <row r="14" spans="1:18" s="45" customFormat="1" ht="14.25" thickBot="1" x14ac:dyDescent="0.3">
      <c r="A14" s="35"/>
      <c r="B14" s="36" t="s">
        <v>25</v>
      </c>
      <c r="C14" s="37"/>
      <c r="D14" s="37"/>
      <c r="E14" s="38"/>
      <c r="F14" s="38"/>
      <c r="G14" s="39">
        <f>SUM(G9:G13)</f>
        <v>5970.5951577719015</v>
      </c>
      <c r="H14" s="40"/>
      <c r="I14" s="41">
        <f t="shared" ref="I14:N14" si="0">SUM(I9:I13)</f>
        <v>1639.7335654919016</v>
      </c>
      <c r="J14" s="41">
        <f t="shared" si="0"/>
        <v>2475.9924824787986</v>
      </c>
      <c r="K14" s="41">
        <f t="shared" si="0"/>
        <v>-1.5292868046963655</v>
      </c>
      <c r="L14" s="41">
        <f t="shared" si="0"/>
        <v>-1.5292868046963655</v>
      </c>
      <c r="M14" s="41">
        <f t="shared" si="0"/>
        <v>1857.926064230594</v>
      </c>
      <c r="N14" s="42">
        <f t="shared" si="0"/>
        <v>0</v>
      </c>
      <c r="O14" s="43"/>
      <c r="P14" s="44"/>
      <c r="R14" s="35"/>
    </row>
    <row r="15" spans="1:18" s="16" customFormat="1" ht="7.5" customHeight="1" x14ac:dyDescent="0.25">
      <c r="A15" s="7"/>
      <c r="C15" s="17"/>
      <c r="E15" s="18"/>
      <c r="F15" s="18"/>
      <c r="G15" s="33"/>
      <c r="H15" s="20"/>
      <c r="I15" s="34"/>
      <c r="J15" s="34"/>
      <c r="K15" s="34"/>
      <c r="L15" s="34"/>
      <c r="M15" s="34"/>
      <c r="N15" s="34"/>
      <c r="O15" s="6"/>
      <c r="P15" s="13"/>
      <c r="R15" s="7"/>
    </row>
    <row r="16" spans="1:18" x14ac:dyDescent="0.25">
      <c r="B16" s="17" t="s">
        <v>26</v>
      </c>
      <c r="E16" s="46"/>
      <c r="F16" s="46"/>
      <c r="G16" s="29"/>
      <c r="H16" s="26"/>
      <c r="I16" s="47"/>
      <c r="J16" s="47"/>
      <c r="K16" s="47"/>
      <c r="L16" s="47"/>
      <c r="M16" s="47"/>
      <c r="N16" s="47"/>
      <c r="O16" s="48"/>
      <c r="P16" s="13"/>
    </row>
    <row r="17" spans="1:20" s="16" customFormat="1" ht="4.5" customHeight="1" x14ac:dyDescent="0.25">
      <c r="A17" s="7"/>
      <c r="C17" s="17"/>
      <c r="E17" s="18"/>
      <c r="F17" s="18"/>
      <c r="G17" s="33"/>
      <c r="H17" s="20"/>
      <c r="I17" s="34"/>
      <c r="J17" s="34"/>
      <c r="K17" s="34"/>
      <c r="L17" s="34"/>
      <c r="M17" s="34"/>
      <c r="N17" s="34"/>
      <c r="O17" s="6"/>
      <c r="P17" s="13"/>
      <c r="R17" s="7"/>
    </row>
    <row r="18" spans="1:20" x14ac:dyDescent="0.25">
      <c r="B18" s="26"/>
      <c r="C18" s="26" t="s">
        <v>27</v>
      </c>
      <c r="D18" s="32" t="s">
        <v>28</v>
      </c>
      <c r="E18" s="28">
        <v>5.3070347690491231E-2</v>
      </c>
      <c r="F18" s="32" t="s">
        <v>29</v>
      </c>
      <c r="G18" s="29">
        <v>2571.9420374527999</v>
      </c>
      <c r="H18" s="2" t="s">
        <v>30</v>
      </c>
      <c r="I18" s="29">
        <v>348.63942654279981</v>
      </c>
      <c r="J18" s="29">
        <v>-7.7533255300000006</v>
      </c>
      <c r="K18" s="29">
        <v>-7.8064844800000017</v>
      </c>
      <c r="L18" s="29">
        <v>1131.8634946399998</v>
      </c>
      <c r="M18" s="29">
        <v>-3.41303701</v>
      </c>
      <c r="N18" s="29">
        <v>1110.4119632899999</v>
      </c>
      <c r="P18" s="13"/>
      <c r="Q18" s="31"/>
      <c r="R18" s="31"/>
    </row>
    <row r="19" spans="1:20" x14ac:dyDescent="0.25">
      <c r="B19" s="26"/>
      <c r="C19" s="26" t="s">
        <v>31</v>
      </c>
      <c r="D19" s="32" t="s">
        <v>32</v>
      </c>
      <c r="E19" s="28">
        <v>1.055669991243491</v>
      </c>
      <c r="F19" s="32" t="s">
        <v>33</v>
      </c>
      <c r="G19" s="29">
        <v>1309.0102211399999</v>
      </c>
      <c r="H19" s="2" t="s">
        <v>20</v>
      </c>
      <c r="I19" s="29">
        <v>449.06920761999993</v>
      </c>
      <c r="J19" s="29">
        <v>859.94101351999996</v>
      </c>
      <c r="K19" s="29">
        <v>0</v>
      </c>
      <c r="L19" s="29">
        <v>0</v>
      </c>
      <c r="M19" s="29">
        <v>0</v>
      </c>
      <c r="N19" s="29">
        <v>0</v>
      </c>
      <c r="P19" s="13"/>
      <c r="Q19" s="31"/>
      <c r="R19" s="31"/>
    </row>
    <row r="20" spans="1:20" x14ac:dyDescent="0.25">
      <c r="B20" s="26"/>
      <c r="C20" s="26" t="s">
        <v>34</v>
      </c>
      <c r="D20" s="32" t="s">
        <v>35</v>
      </c>
      <c r="E20" s="28">
        <v>7.3749999999999996E-3</v>
      </c>
      <c r="F20" s="32" t="s">
        <v>33</v>
      </c>
      <c r="G20" s="29">
        <v>714.09430155999996</v>
      </c>
      <c r="H20" s="2" t="s">
        <v>36</v>
      </c>
      <c r="I20" s="29">
        <v>15.497284059999998</v>
      </c>
      <c r="J20" s="29">
        <v>-0.67705658000000013</v>
      </c>
      <c r="K20" s="29">
        <v>454.61109500999999</v>
      </c>
      <c r="L20" s="29">
        <v>-0.25378479999999998</v>
      </c>
      <c r="M20" s="29">
        <v>244.91676387000001</v>
      </c>
      <c r="N20" s="29">
        <v>0</v>
      </c>
      <c r="P20" s="13"/>
      <c r="Q20" s="31"/>
      <c r="R20" s="31"/>
    </row>
    <row r="21" spans="1:20" x14ac:dyDescent="0.25">
      <c r="B21" s="26"/>
      <c r="C21" s="26" t="s">
        <v>37</v>
      </c>
      <c r="D21" s="32" t="s">
        <v>28</v>
      </c>
      <c r="E21" s="28">
        <v>4.112116437057136E-2</v>
      </c>
      <c r="F21" s="32" t="s">
        <v>38</v>
      </c>
      <c r="G21" s="29">
        <v>555.26388377000001</v>
      </c>
      <c r="H21" s="2">
        <v>2028</v>
      </c>
      <c r="I21" s="29">
        <v>-0.56430048000004263</v>
      </c>
      <c r="J21" s="29">
        <v>-1.51141535</v>
      </c>
      <c r="K21" s="29">
        <v>557.33959960000004</v>
      </c>
      <c r="L21" s="29">
        <v>0</v>
      </c>
      <c r="M21" s="29">
        <v>0</v>
      </c>
      <c r="N21" s="29">
        <v>0</v>
      </c>
      <c r="P21" s="13"/>
      <c r="Q21" s="31"/>
      <c r="R21" s="31"/>
    </row>
    <row r="22" spans="1:20" x14ac:dyDescent="0.25">
      <c r="B22" s="26"/>
      <c r="C22" s="26" t="s">
        <v>39</v>
      </c>
      <c r="D22" s="32" t="s">
        <v>40</v>
      </c>
      <c r="E22" s="28">
        <v>0.11169999999999999</v>
      </c>
      <c r="F22" s="32" t="s">
        <v>41</v>
      </c>
      <c r="G22" s="29">
        <v>491.17372564000004</v>
      </c>
      <c r="H22" s="2">
        <v>2027</v>
      </c>
      <c r="I22" s="29">
        <v>2.4010814200000254</v>
      </c>
      <c r="J22" s="29">
        <v>-3.0981943500000004</v>
      </c>
      <c r="K22" s="29">
        <v>491.87083857000005</v>
      </c>
      <c r="L22" s="29">
        <v>0</v>
      </c>
      <c r="M22" s="29">
        <v>0</v>
      </c>
      <c r="N22" s="29">
        <v>0</v>
      </c>
      <c r="P22" s="13"/>
      <c r="Q22" s="31"/>
      <c r="R22" s="31"/>
    </row>
    <row r="23" spans="1:20" x14ac:dyDescent="0.25">
      <c r="B23" s="26"/>
      <c r="C23" s="26" t="s">
        <v>42</v>
      </c>
      <c r="D23" s="32" t="s">
        <v>35</v>
      </c>
      <c r="E23" s="28">
        <v>9.1999999999999998E-3</v>
      </c>
      <c r="F23" s="32" t="s">
        <v>33</v>
      </c>
      <c r="G23" s="29">
        <v>551.58426765000002</v>
      </c>
      <c r="H23" s="2">
        <v>2027</v>
      </c>
      <c r="I23" s="29">
        <v>51.584267650000015</v>
      </c>
      <c r="J23" s="29">
        <v>0</v>
      </c>
      <c r="K23" s="29">
        <v>500</v>
      </c>
      <c r="L23" s="29">
        <v>0</v>
      </c>
      <c r="M23" s="29">
        <v>0</v>
      </c>
      <c r="N23" s="29">
        <v>0</v>
      </c>
      <c r="P23" s="13"/>
      <c r="Q23" s="31"/>
      <c r="R23" s="31"/>
    </row>
    <row r="24" spans="1:20" x14ac:dyDescent="0.25">
      <c r="B24" s="26"/>
      <c r="C24" s="26" t="s">
        <v>43</v>
      </c>
      <c r="D24" s="32" t="s">
        <v>35</v>
      </c>
      <c r="E24" s="28">
        <v>6.9999999999999993E-3</v>
      </c>
      <c r="F24" s="32" t="s">
        <v>33</v>
      </c>
      <c r="G24" s="29">
        <v>492.44809373000004</v>
      </c>
      <c r="H24" s="2">
        <v>2027</v>
      </c>
      <c r="I24" s="29">
        <v>3.8160399600000687</v>
      </c>
      <c r="J24" s="29">
        <v>-2.8870358400000002</v>
      </c>
      <c r="K24" s="29">
        <v>491.51908960999998</v>
      </c>
      <c r="L24" s="29">
        <v>0</v>
      </c>
      <c r="M24" s="29">
        <v>0</v>
      </c>
      <c r="N24" s="29">
        <v>0</v>
      </c>
      <c r="P24" s="13"/>
      <c r="Q24" s="31"/>
      <c r="R24" s="31"/>
    </row>
    <row r="25" spans="1:20" x14ac:dyDescent="0.25">
      <c r="B25" s="26"/>
      <c r="C25" s="26" t="s">
        <v>44</v>
      </c>
      <c r="D25" s="32" t="s">
        <v>32</v>
      </c>
      <c r="E25" s="28">
        <v>1.0900000000000001</v>
      </c>
      <c r="F25" s="32" t="s">
        <v>33</v>
      </c>
      <c r="G25" s="29">
        <v>205.28965857</v>
      </c>
      <c r="H25" s="2" t="s">
        <v>45</v>
      </c>
      <c r="I25" s="29">
        <v>5.2896585700000003</v>
      </c>
      <c r="J25" s="29">
        <v>100</v>
      </c>
      <c r="K25" s="29">
        <v>100</v>
      </c>
      <c r="L25" s="29">
        <v>0</v>
      </c>
      <c r="M25" s="29">
        <v>0</v>
      </c>
      <c r="N25" s="29">
        <v>0</v>
      </c>
      <c r="P25" s="13"/>
      <c r="Q25" s="31"/>
      <c r="R25" s="31"/>
    </row>
    <row r="26" spans="1:20" x14ac:dyDescent="0.25">
      <c r="B26" s="26"/>
      <c r="C26" s="26" t="s">
        <v>46</v>
      </c>
      <c r="D26" s="32" t="s">
        <v>28</v>
      </c>
      <c r="E26" s="28">
        <v>6.2796853999999902E-2</v>
      </c>
      <c r="F26" s="32" t="s">
        <v>33</v>
      </c>
      <c r="G26" s="29">
        <v>83.30893691</v>
      </c>
      <c r="H26" s="2" t="s">
        <v>47</v>
      </c>
      <c r="I26" s="29">
        <v>1.2895267399999994</v>
      </c>
      <c r="J26" s="29">
        <v>-0.15157736999999999</v>
      </c>
      <c r="K26" s="29">
        <v>-0.15157736999999999</v>
      </c>
      <c r="L26" s="29">
        <v>-0.15157736999999999</v>
      </c>
      <c r="M26" s="29">
        <v>-0.15157736999999999</v>
      </c>
      <c r="N26" s="29">
        <v>82.625719650000008</v>
      </c>
      <c r="P26" s="13"/>
      <c r="Q26" s="31"/>
      <c r="R26" s="31"/>
    </row>
    <row r="27" spans="1:20" x14ac:dyDescent="0.25">
      <c r="B27" s="26"/>
      <c r="C27" s="26" t="s">
        <v>48</v>
      </c>
      <c r="D27" s="32" t="s">
        <v>49</v>
      </c>
      <c r="E27" s="28">
        <v>0.01</v>
      </c>
      <c r="F27" s="32" t="s">
        <v>33</v>
      </c>
      <c r="G27" s="29">
        <v>0.52621152000000004</v>
      </c>
      <c r="H27" s="2">
        <v>2026</v>
      </c>
      <c r="I27" s="29">
        <v>0.52621152000000004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P27" s="13"/>
      <c r="Q27" s="31"/>
      <c r="R27" s="31"/>
    </row>
    <row r="28" spans="1:20" x14ac:dyDescent="0.25">
      <c r="B28" s="26"/>
      <c r="C28" s="26" t="s">
        <v>50</v>
      </c>
      <c r="D28" s="32" t="s">
        <v>28</v>
      </c>
      <c r="E28" s="28">
        <v>2.9337999999999999E-2</v>
      </c>
      <c r="F28" s="32" t="s">
        <v>51</v>
      </c>
      <c r="G28" s="29">
        <v>191.29960674999964</v>
      </c>
      <c r="H28" s="2" t="s">
        <v>52</v>
      </c>
      <c r="I28" s="29">
        <v>2.1676938699999937</v>
      </c>
      <c r="J28" s="29">
        <v>-0.10843187</v>
      </c>
      <c r="K28" s="29">
        <v>-0.10843187</v>
      </c>
      <c r="L28" s="29">
        <v>0.52012768137252285</v>
      </c>
      <c r="M28" s="29">
        <v>7.6028047421944933</v>
      </c>
      <c r="N28" s="29">
        <v>181.22584419643263</v>
      </c>
      <c r="P28" s="13"/>
      <c r="Q28" s="31"/>
      <c r="R28" s="31"/>
    </row>
    <row r="29" spans="1:20" s="16" customFormat="1" ht="4.5" customHeight="1" thickBot="1" x14ac:dyDescent="0.3">
      <c r="A29" s="7"/>
      <c r="C29" s="17"/>
      <c r="E29" s="18"/>
      <c r="F29" s="18"/>
      <c r="G29" s="33"/>
      <c r="H29" s="20"/>
      <c r="I29" s="34"/>
      <c r="J29" s="34"/>
      <c r="K29" s="34"/>
      <c r="L29" s="34"/>
      <c r="M29" s="34"/>
      <c r="N29" s="34"/>
      <c r="O29" s="6"/>
      <c r="P29" s="13"/>
      <c r="R29" s="7"/>
    </row>
    <row r="30" spans="1:20" s="45" customFormat="1" ht="14.25" thickBot="1" x14ac:dyDescent="0.3">
      <c r="A30" s="35"/>
      <c r="B30" s="36" t="s">
        <v>53</v>
      </c>
      <c r="C30" s="37"/>
      <c r="D30" s="37"/>
      <c r="E30" s="38"/>
      <c r="F30" s="38"/>
      <c r="G30" s="39">
        <f>SUM(G18:G28)</f>
        <v>7165.9409446927993</v>
      </c>
      <c r="H30" s="40"/>
      <c r="I30" s="41">
        <f t="shared" ref="I30:N30" si="1">SUM(I17:I28)</f>
        <v>879.71609747279967</v>
      </c>
      <c r="J30" s="41">
        <f t="shared" si="1"/>
        <v>943.75397663000001</v>
      </c>
      <c r="K30" s="41">
        <f t="shared" si="1"/>
        <v>2587.2741290700001</v>
      </c>
      <c r="L30" s="41">
        <f t="shared" si="1"/>
        <v>1131.9782601513723</v>
      </c>
      <c r="M30" s="41">
        <f t="shared" si="1"/>
        <v>248.9549542321945</v>
      </c>
      <c r="N30" s="42">
        <f t="shared" si="1"/>
        <v>1374.2635271364327</v>
      </c>
      <c r="O30" s="43"/>
      <c r="P30" s="44"/>
      <c r="R30" s="35"/>
    </row>
    <row r="31" spans="1:20" s="16" customFormat="1" ht="4.5" customHeight="1" x14ac:dyDescent="0.25">
      <c r="A31" s="7"/>
      <c r="C31" s="17"/>
      <c r="E31" s="18"/>
      <c r="F31" s="18"/>
      <c r="G31" s="33"/>
      <c r="H31" s="20"/>
      <c r="I31" s="34"/>
      <c r="J31" s="34"/>
      <c r="K31" s="34"/>
      <c r="L31" s="34"/>
      <c r="M31" s="34"/>
      <c r="N31" s="34"/>
      <c r="O31" s="6"/>
      <c r="P31" s="13"/>
      <c r="R31" s="7"/>
    </row>
    <row r="32" spans="1:20" s="16" customFormat="1" x14ac:dyDescent="0.25">
      <c r="C32" s="7" t="s">
        <v>54</v>
      </c>
      <c r="E32" s="20"/>
      <c r="F32" s="20"/>
      <c r="G32" s="29">
        <v>419.39087009999969</v>
      </c>
      <c r="H32" s="49"/>
      <c r="I32" s="29">
        <v>63.038950589999729</v>
      </c>
      <c r="J32" s="29">
        <v>0</v>
      </c>
      <c r="K32" s="29">
        <v>40.891315650000003</v>
      </c>
      <c r="L32" s="29">
        <v>0</v>
      </c>
      <c r="M32" s="29">
        <v>309.55580934999995</v>
      </c>
      <c r="N32" s="29">
        <v>5.9047945099999994</v>
      </c>
      <c r="O32" s="48"/>
      <c r="P32" s="50"/>
      <c r="R32" s="7"/>
      <c r="S32" s="7"/>
      <c r="T32" s="7"/>
    </row>
    <row r="33" spans="1:20" s="16" customFormat="1" ht="4.5" customHeight="1" thickBot="1" x14ac:dyDescent="0.3">
      <c r="A33" s="7"/>
      <c r="C33" s="17"/>
      <c r="E33" s="18"/>
      <c r="F33" s="18"/>
      <c r="G33" s="33"/>
      <c r="H33" s="20"/>
      <c r="I33" s="34"/>
      <c r="J33" s="34"/>
      <c r="K33" s="34"/>
      <c r="L33" s="34"/>
      <c r="M33" s="34"/>
      <c r="N33" s="34"/>
      <c r="O33" s="6"/>
      <c r="P33" s="13"/>
      <c r="R33" s="7"/>
    </row>
    <row r="34" spans="1:20" s="45" customFormat="1" ht="14.25" thickBot="1" x14ac:dyDescent="0.3">
      <c r="A34" s="35"/>
      <c r="B34" s="36" t="s">
        <v>55</v>
      </c>
      <c r="C34" s="37"/>
      <c r="D34" s="37"/>
      <c r="E34" s="38"/>
      <c r="F34" s="38"/>
      <c r="G34" s="39">
        <f>G32+G30+G14</f>
        <v>13555.926972564701</v>
      </c>
      <c r="H34" s="40"/>
      <c r="I34" s="41">
        <f t="shared" ref="I34:N34" si="2">+I14+I30+I32</f>
        <v>2582.4886135547008</v>
      </c>
      <c r="J34" s="41">
        <f t="shared" si="2"/>
        <v>3419.7464591087987</v>
      </c>
      <c r="K34" s="41">
        <f t="shared" si="2"/>
        <v>2626.6361579153036</v>
      </c>
      <c r="L34" s="41">
        <f t="shared" si="2"/>
        <v>1130.448973346676</v>
      </c>
      <c r="M34" s="41">
        <f t="shared" si="2"/>
        <v>2416.4368278127881</v>
      </c>
      <c r="N34" s="42">
        <f t="shared" si="2"/>
        <v>1380.1683216464328</v>
      </c>
      <c r="O34" s="43"/>
      <c r="P34" s="44"/>
      <c r="R34" s="35"/>
    </row>
    <row r="35" spans="1:20" s="16" customFormat="1" ht="6" customHeight="1" x14ac:dyDescent="0.25">
      <c r="B35" s="17"/>
      <c r="E35" s="20"/>
      <c r="F35" s="20"/>
      <c r="G35" s="34"/>
      <c r="H35" s="49"/>
      <c r="I35" s="33"/>
      <c r="J35" s="33"/>
      <c r="K35" s="33"/>
      <c r="L35" s="33"/>
      <c r="M35" s="34"/>
      <c r="N35" s="34"/>
      <c r="O35" s="48"/>
      <c r="P35" s="50"/>
      <c r="R35" s="7"/>
      <c r="S35" s="7"/>
      <c r="T35" s="7"/>
    </row>
    <row r="36" spans="1:20" s="51" customFormat="1" x14ac:dyDescent="0.25">
      <c r="C36" s="52" t="s">
        <v>56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</row>
    <row r="37" spans="1:20" s="51" customFormat="1" ht="14.25" customHeight="1" x14ac:dyDescent="0.25">
      <c r="B37" s="54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5"/>
    </row>
    <row r="38" spans="1:20" s="56" customFormat="1" ht="14.25" customHeight="1" x14ac:dyDescent="0.25">
      <c r="B38" s="54"/>
      <c r="C38" s="57"/>
      <c r="D38" s="58"/>
      <c r="E38" s="58"/>
      <c r="F38" s="58"/>
      <c r="G38" s="59"/>
      <c r="H38" s="58"/>
      <c r="I38" s="58"/>
      <c r="J38" s="58"/>
      <c r="K38" s="58"/>
      <c r="L38" s="58"/>
      <c r="M38" s="58"/>
      <c r="N38" s="58"/>
      <c r="O38" s="55"/>
      <c r="P38" s="51"/>
    </row>
    <row r="39" spans="1:20" s="56" customFormat="1" ht="14.25" customHeight="1" x14ac:dyDescent="0.25">
      <c r="B39" s="54"/>
      <c r="C39" s="57"/>
      <c r="D39" s="58"/>
      <c r="E39" s="58"/>
      <c r="F39" s="58"/>
      <c r="G39" s="59"/>
      <c r="H39" s="58"/>
      <c r="I39" s="60"/>
      <c r="J39" s="60"/>
      <c r="K39" s="60"/>
      <c r="L39" s="60"/>
      <c r="M39" s="60"/>
      <c r="N39" s="60"/>
      <c r="O39" s="55"/>
      <c r="P39" s="51"/>
    </row>
    <row r="40" spans="1:20" s="56" customFormat="1" ht="14.25" customHeight="1" x14ac:dyDescent="0.25">
      <c r="B40" s="54"/>
      <c r="C40" s="61"/>
      <c r="D40" s="58"/>
      <c r="E40" s="58"/>
      <c r="F40" s="58"/>
      <c r="G40" s="59"/>
      <c r="H40" s="58"/>
      <c r="I40" s="58"/>
      <c r="J40" s="58"/>
      <c r="K40" s="58"/>
      <c r="L40" s="58"/>
      <c r="M40" s="58"/>
      <c r="N40" s="58"/>
      <c r="O40" s="55"/>
      <c r="P40" s="51"/>
    </row>
    <row r="41" spans="1:20" s="56" customFormat="1" ht="14.25" customHeight="1" x14ac:dyDescent="0.25">
      <c r="B41" s="54"/>
      <c r="C41" s="57"/>
      <c r="D41" s="58"/>
      <c r="E41" s="58"/>
      <c r="F41" s="58"/>
      <c r="G41" s="59"/>
      <c r="H41" s="58"/>
      <c r="I41" s="51"/>
      <c r="J41" s="58"/>
      <c r="K41" s="58"/>
      <c r="L41" s="58"/>
      <c r="M41" s="58"/>
      <c r="N41" s="58"/>
      <c r="O41" s="55"/>
      <c r="P41" s="51"/>
    </row>
    <row r="42" spans="1:20" s="56" customFormat="1" ht="14.25" customHeight="1" x14ac:dyDescent="0.25">
      <c r="B42" s="54"/>
      <c r="C42" s="57"/>
      <c r="D42" s="58"/>
      <c r="E42" s="58"/>
      <c r="F42" s="58"/>
      <c r="G42" s="59"/>
      <c r="H42" s="58"/>
      <c r="I42" s="58"/>
      <c r="J42" s="58"/>
      <c r="K42" s="58"/>
      <c r="L42" s="58"/>
      <c r="M42" s="58"/>
      <c r="N42" s="58"/>
      <c r="O42" s="55"/>
      <c r="P42" s="51"/>
    </row>
    <row r="43" spans="1:20" s="56" customFormat="1" ht="14.25" customHeight="1" x14ac:dyDescent="0.25">
      <c r="B43" s="54"/>
      <c r="C43" s="57"/>
      <c r="D43" s="58"/>
      <c r="E43" s="58"/>
      <c r="F43" s="58"/>
      <c r="G43" s="59"/>
      <c r="H43" s="58"/>
      <c r="I43" s="58"/>
      <c r="J43" s="58"/>
      <c r="K43" s="58"/>
      <c r="L43" s="58"/>
      <c r="M43" s="58"/>
      <c r="N43" s="58"/>
      <c r="O43" s="55"/>
      <c r="P43" s="51"/>
    </row>
    <row r="59" spans="5:6" x14ac:dyDescent="0.25">
      <c r="E59" s="62"/>
      <c r="F59" s="62"/>
    </row>
  </sheetData>
  <mergeCells count="7">
    <mergeCell ref="C36:N37"/>
    <mergeCell ref="A4:C5"/>
    <mergeCell ref="D4:D5"/>
    <mergeCell ref="E4:E5"/>
    <mergeCell ref="F4:F5"/>
    <mergeCell ref="H4:H5"/>
    <mergeCell ref="I4:N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8779-4DA0-4332-A076-36B086E03C9F}">
  <dimension ref="A1:T66"/>
  <sheetViews>
    <sheetView showGridLines="0" workbookViewId="0">
      <selection activeCell="D24" sqref="A22:D24"/>
    </sheetView>
  </sheetViews>
  <sheetFormatPr defaultColWidth="11.42578125" defaultRowHeight="13.5" outlineLevelRow="1" x14ac:dyDescent="0.25"/>
  <cols>
    <col min="1" max="2" width="3" style="7" customWidth="1"/>
    <col min="3" max="3" width="45.42578125" style="7" customWidth="1"/>
    <col min="4" max="4" width="21" style="7" bestFit="1" customWidth="1"/>
    <col min="5" max="6" width="21.28515625" style="7" customWidth="1"/>
    <col min="7" max="7" width="12.7109375" style="3" customWidth="1"/>
    <col min="8" max="8" width="14.7109375" style="7" bestFit="1" customWidth="1"/>
    <col min="9" max="14" width="13.42578125" style="7" customWidth="1"/>
    <col min="15" max="15" width="14" style="63" customWidth="1"/>
    <col min="16" max="16" width="13.5703125" style="7" bestFit="1" customWidth="1"/>
    <col min="17" max="17" width="15.28515625" style="7" bestFit="1" customWidth="1"/>
    <col min="18" max="18" width="12.85546875" style="7" bestFit="1" customWidth="1"/>
    <col min="19" max="256" width="11.42578125" style="7"/>
    <col min="257" max="258" width="3" style="7" customWidth="1"/>
    <col min="259" max="259" width="45.42578125" style="7" customWidth="1"/>
    <col min="260" max="260" width="21" style="7" bestFit="1" customWidth="1"/>
    <col min="261" max="262" width="21.28515625" style="7" customWidth="1"/>
    <col min="263" max="263" width="12.7109375" style="7" customWidth="1"/>
    <col min="264" max="264" width="14.7109375" style="7" bestFit="1" customWidth="1"/>
    <col min="265" max="270" width="13.42578125" style="7" customWidth="1"/>
    <col min="271" max="271" width="14" style="7" customWidth="1"/>
    <col min="272" max="272" width="13.5703125" style="7" bestFit="1" customWidth="1"/>
    <col min="273" max="273" width="15.28515625" style="7" bestFit="1" customWidth="1"/>
    <col min="274" max="274" width="12.85546875" style="7" bestFit="1" customWidth="1"/>
    <col min="275" max="512" width="11.42578125" style="7"/>
    <col min="513" max="514" width="3" style="7" customWidth="1"/>
    <col min="515" max="515" width="45.42578125" style="7" customWidth="1"/>
    <col min="516" max="516" width="21" style="7" bestFit="1" customWidth="1"/>
    <col min="517" max="518" width="21.28515625" style="7" customWidth="1"/>
    <col min="519" max="519" width="12.7109375" style="7" customWidth="1"/>
    <col min="520" max="520" width="14.7109375" style="7" bestFit="1" customWidth="1"/>
    <col min="521" max="526" width="13.42578125" style="7" customWidth="1"/>
    <col min="527" max="527" width="14" style="7" customWidth="1"/>
    <col min="528" max="528" width="13.5703125" style="7" bestFit="1" customWidth="1"/>
    <col min="529" max="529" width="15.28515625" style="7" bestFit="1" customWidth="1"/>
    <col min="530" max="530" width="12.85546875" style="7" bestFit="1" customWidth="1"/>
    <col min="531" max="768" width="11.42578125" style="7"/>
    <col min="769" max="770" width="3" style="7" customWidth="1"/>
    <col min="771" max="771" width="45.42578125" style="7" customWidth="1"/>
    <col min="772" max="772" width="21" style="7" bestFit="1" customWidth="1"/>
    <col min="773" max="774" width="21.28515625" style="7" customWidth="1"/>
    <col min="775" max="775" width="12.7109375" style="7" customWidth="1"/>
    <col min="776" max="776" width="14.7109375" style="7" bestFit="1" customWidth="1"/>
    <col min="777" max="782" width="13.42578125" style="7" customWidth="1"/>
    <col min="783" max="783" width="14" style="7" customWidth="1"/>
    <col min="784" max="784" width="13.5703125" style="7" bestFit="1" customWidth="1"/>
    <col min="785" max="785" width="15.28515625" style="7" bestFit="1" customWidth="1"/>
    <col min="786" max="786" width="12.85546875" style="7" bestFit="1" customWidth="1"/>
    <col min="787" max="1024" width="11.42578125" style="7"/>
    <col min="1025" max="1026" width="3" style="7" customWidth="1"/>
    <col min="1027" max="1027" width="45.42578125" style="7" customWidth="1"/>
    <col min="1028" max="1028" width="21" style="7" bestFit="1" customWidth="1"/>
    <col min="1029" max="1030" width="21.28515625" style="7" customWidth="1"/>
    <col min="1031" max="1031" width="12.7109375" style="7" customWidth="1"/>
    <col min="1032" max="1032" width="14.7109375" style="7" bestFit="1" customWidth="1"/>
    <col min="1033" max="1038" width="13.42578125" style="7" customWidth="1"/>
    <col min="1039" max="1039" width="14" style="7" customWidth="1"/>
    <col min="1040" max="1040" width="13.5703125" style="7" bestFit="1" customWidth="1"/>
    <col min="1041" max="1041" width="15.28515625" style="7" bestFit="1" customWidth="1"/>
    <col min="1042" max="1042" width="12.85546875" style="7" bestFit="1" customWidth="1"/>
    <col min="1043" max="1280" width="11.42578125" style="7"/>
    <col min="1281" max="1282" width="3" style="7" customWidth="1"/>
    <col min="1283" max="1283" width="45.42578125" style="7" customWidth="1"/>
    <col min="1284" max="1284" width="21" style="7" bestFit="1" customWidth="1"/>
    <col min="1285" max="1286" width="21.28515625" style="7" customWidth="1"/>
    <col min="1287" max="1287" width="12.7109375" style="7" customWidth="1"/>
    <col min="1288" max="1288" width="14.7109375" style="7" bestFit="1" customWidth="1"/>
    <col min="1289" max="1294" width="13.42578125" style="7" customWidth="1"/>
    <col min="1295" max="1295" width="14" style="7" customWidth="1"/>
    <col min="1296" max="1296" width="13.5703125" style="7" bestFit="1" customWidth="1"/>
    <col min="1297" max="1297" width="15.28515625" style="7" bestFit="1" customWidth="1"/>
    <col min="1298" max="1298" width="12.85546875" style="7" bestFit="1" customWidth="1"/>
    <col min="1299" max="1536" width="11.42578125" style="7"/>
    <col min="1537" max="1538" width="3" style="7" customWidth="1"/>
    <col min="1539" max="1539" width="45.42578125" style="7" customWidth="1"/>
    <col min="1540" max="1540" width="21" style="7" bestFit="1" customWidth="1"/>
    <col min="1541" max="1542" width="21.28515625" style="7" customWidth="1"/>
    <col min="1543" max="1543" width="12.7109375" style="7" customWidth="1"/>
    <col min="1544" max="1544" width="14.7109375" style="7" bestFit="1" customWidth="1"/>
    <col min="1545" max="1550" width="13.42578125" style="7" customWidth="1"/>
    <col min="1551" max="1551" width="14" style="7" customWidth="1"/>
    <col min="1552" max="1552" width="13.5703125" style="7" bestFit="1" customWidth="1"/>
    <col min="1553" max="1553" width="15.28515625" style="7" bestFit="1" customWidth="1"/>
    <col min="1554" max="1554" width="12.85546875" style="7" bestFit="1" customWidth="1"/>
    <col min="1555" max="1792" width="11.42578125" style="7"/>
    <col min="1793" max="1794" width="3" style="7" customWidth="1"/>
    <col min="1795" max="1795" width="45.42578125" style="7" customWidth="1"/>
    <col min="1796" max="1796" width="21" style="7" bestFit="1" customWidth="1"/>
    <col min="1797" max="1798" width="21.28515625" style="7" customWidth="1"/>
    <col min="1799" max="1799" width="12.7109375" style="7" customWidth="1"/>
    <col min="1800" max="1800" width="14.7109375" style="7" bestFit="1" customWidth="1"/>
    <col min="1801" max="1806" width="13.42578125" style="7" customWidth="1"/>
    <col min="1807" max="1807" width="14" style="7" customWidth="1"/>
    <col min="1808" max="1808" width="13.5703125" style="7" bestFit="1" customWidth="1"/>
    <col min="1809" max="1809" width="15.28515625" style="7" bestFit="1" customWidth="1"/>
    <col min="1810" max="1810" width="12.85546875" style="7" bestFit="1" customWidth="1"/>
    <col min="1811" max="2048" width="11.42578125" style="7"/>
    <col min="2049" max="2050" width="3" style="7" customWidth="1"/>
    <col min="2051" max="2051" width="45.42578125" style="7" customWidth="1"/>
    <col min="2052" max="2052" width="21" style="7" bestFit="1" customWidth="1"/>
    <col min="2053" max="2054" width="21.28515625" style="7" customWidth="1"/>
    <col min="2055" max="2055" width="12.7109375" style="7" customWidth="1"/>
    <col min="2056" max="2056" width="14.7109375" style="7" bestFit="1" customWidth="1"/>
    <col min="2057" max="2062" width="13.42578125" style="7" customWidth="1"/>
    <col min="2063" max="2063" width="14" style="7" customWidth="1"/>
    <col min="2064" max="2064" width="13.5703125" style="7" bestFit="1" customWidth="1"/>
    <col min="2065" max="2065" width="15.28515625" style="7" bestFit="1" customWidth="1"/>
    <col min="2066" max="2066" width="12.85546875" style="7" bestFit="1" customWidth="1"/>
    <col min="2067" max="2304" width="11.42578125" style="7"/>
    <col min="2305" max="2306" width="3" style="7" customWidth="1"/>
    <col min="2307" max="2307" width="45.42578125" style="7" customWidth="1"/>
    <col min="2308" max="2308" width="21" style="7" bestFit="1" customWidth="1"/>
    <col min="2309" max="2310" width="21.28515625" style="7" customWidth="1"/>
    <col min="2311" max="2311" width="12.7109375" style="7" customWidth="1"/>
    <col min="2312" max="2312" width="14.7109375" style="7" bestFit="1" customWidth="1"/>
    <col min="2313" max="2318" width="13.42578125" style="7" customWidth="1"/>
    <col min="2319" max="2319" width="14" style="7" customWidth="1"/>
    <col min="2320" max="2320" width="13.5703125" style="7" bestFit="1" customWidth="1"/>
    <col min="2321" max="2321" width="15.28515625" style="7" bestFit="1" customWidth="1"/>
    <col min="2322" max="2322" width="12.85546875" style="7" bestFit="1" customWidth="1"/>
    <col min="2323" max="2560" width="11.42578125" style="7"/>
    <col min="2561" max="2562" width="3" style="7" customWidth="1"/>
    <col min="2563" max="2563" width="45.42578125" style="7" customWidth="1"/>
    <col min="2564" max="2564" width="21" style="7" bestFit="1" customWidth="1"/>
    <col min="2565" max="2566" width="21.28515625" style="7" customWidth="1"/>
    <col min="2567" max="2567" width="12.7109375" style="7" customWidth="1"/>
    <col min="2568" max="2568" width="14.7109375" style="7" bestFit="1" customWidth="1"/>
    <col min="2569" max="2574" width="13.42578125" style="7" customWidth="1"/>
    <col min="2575" max="2575" width="14" style="7" customWidth="1"/>
    <col min="2576" max="2576" width="13.5703125" style="7" bestFit="1" customWidth="1"/>
    <col min="2577" max="2577" width="15.28515625" style="7" bestFit="1" customWidth="1"/>
    <col min="2578" max="2578" width="12.85546875" style="7" bestFit="1" customWidth="1"/>
    <col min="2579" max="2816" width="11.42578125" style="7"/>
    <col min="2817" max="2818" width="3" style="7" customWidth="1"/>
    <col min="2819" max="2819" width="45.42578125" style="7" customWidth="1"/>
    <col min="2820" max="2820" width="21" style="7" bestFit="1" customWidth="1"/>
    <col min="2821" max="2822" width="21.28515625" style="7" customWidth="1"/>
    <col min="2823" max="2823" width="12.7109375" style="7" customWidth="1"/>
    <col min="2824" max="2824" width="14.7109375" style="7" bestFit="1" customWidth="1"/>
    <col min="2825" max="2830" width="13.42578125" style="7" customWidth="1"/>
    <col min="2831" max="2831" width="14" style="7" customWidth="1"/>
    <col min="2832" max="2832" width="13.5703125" style="7" bestFit="1" customWidth="1"/>
    <col min="2833" max="2833" width="15.28515625" style="7" bestFit="1" customWidth="1"/>
    <col min="2834" max="2834" width="12.85546875" style="7" bestFit="1" customWidth="1"/>
    <col min="2835" max="3072" width="11.42578125" style="7"/>
    <col min="3073" max="3074" width="3" style="7" customWidth="1"/>
    <col min="3075" max="3075" width="45.42578125" style="7" customWidth="1"/>
    <col min="3076" max="3076" width="21" style="7" bestFit="1" customWidth="1"/>
    <col min="3077" max="3078" width="21.28515625" style="7" customWidth="1"/>
    <col min="3079" max="3079" width="12.7109375" style="7" customWidth="1"/>
    <col min="3080" max="3080" width="14.7109375" style="7" bestFit="1" customWidth="1"/>
    <col min="3081" max="3086" width="13.42578125" style="7" customWidth="1"/>
    <col min="3087" max="3087" width="14" style="7" customWidth="1"/>
    <col min="3088" max="3088" width="13.5703125" style="7" bestFit="1" customWidth="1"/>
    <col min="3089" max="3089" width="15.28515625" style="7" bestFit="1" customWidth="1"/>
    <col min="3090" max="3090" width="12.85546875" style="7" bestFit="1" customWidth="1"/>
    <col min="3091" max="3328" width="11.42578125" style="7"/>
    <col min="3329" max="3330" width="3" style="7" customWidth="1"/>
    <col min="3331" max="3331" width="45.42578125" style="7" customWidth="1"/>
    <col min="3332" max="3332" width="21" style="7" bestFit="1" customWidth="1"/>
    <col min="3333" max="3334" width="21.28515625" style="7" customWidth="1"/>
    <col min="3335" max="3335" width="12.7109375" style="7" customWidth="1"/>
    <col min="3336" max="3336" width="14.7109375" style="7" bestFit="1" customWidth="1"/>
    <col min="3337" max="3342" width="13.42578125" style="7" customWidth="1"/>
    <col min="3343" max="3343" width="14" style="7" customWidth="1"/>
    <col min="3344" max="3344" width="13.5703125" style="7" bestFit="1" customWidth="1"/>
    <col min="3345" max="3345" width="15.28515625" style="7" bestFit="1" customWidth="1"/>
    <col min="3346" max="3346" width="12.85546875" style="7" bestFit="1" customWidth="1"/>
    <col min="3347" max="3584" width="11.42578125" style="7"/>
    <col min="3585" max="3586" width="3" style="7" customWidth="1"/>
    <col min="3587" max="3587" width="45.42578125" style="7" customWidth="1"/>
    <col min="3588" max="3588" width="21" style="7" bestFit="1" customWidth="1"/>
    <col min="3589" max="3590" width="21.28515625" style="7" customWidth="1"/>
    <col min="3591" max="3591" width="12.7109375" style="7" customWidth="1"/>
    <col min="3592" max="3592" width="14.7109375" style="7" bestFit="1" customWidth="1"/>
    <col min="3593" max="3598" width="13.42578125" style="7" customWidth="1"/>
    <col min="3599" max="3599" width="14" style="7" customWidth="1"/>
    <col min="3600" max="3600" width="13.5703125" style="7" bestFit="1" customWidth="1"/>
    <col min="3601" max="3601" width="15.28515625" style="7" bestFit="1" customWidth="1"/>
    <col min="3602" max="3602" width="12.85546875" style="7" bestFit="1" customWidth="1"/>
    <col min="3603" max="3840" width="11.42578125" style="7"/>
    <col min="3841" max="3842" width="3" style="7" customWidth="1"/>
    <col min="3843" max="3843" width="45.42578125" style="7" customWidth="1"/>
    <col min="3844" max="3844" width="21" style="7" bestFit="1" customWidth="1"/>
    <col min="3845" max="3846" width="21.28515625" style="7" customWidth="1"/>
    <col min="3847" max="3847" width="12.7109375" style="7" customWidth="1"/>
    <col min="3848" max="3848" width="14.7109375" style="7" bestFit="1" customWidth="1"/>
    <col min="3849" max="3854" width="13.42578125" style="7" customWidth="1"/>
    <col min="3855" max="3855" width="14" style="7" customWidth="1"/>
    <col min="3856" max="3856" width="13.5703125" style="7" bestFit="1" customWidth="1"/>
    <col min="3857" max="3857" width="15.28515625" style="7" bestFit="1" customWidth="1"/>
    <col min="3858" max="3858" width="12.85546875" style="7" bestFit="1" customWidth="1"/>
    <col min="3859" max="4096" width="11.42578125" style="7"/>
    <col min="4097" max="4098" width="3" style="7" customWidth="1"/>
    <col min="4099" max="4099" width="45.42578125" style="7" customWidth="1"/>
    <col min="4100" max="4100" width="21" style="7" bestFit="1" customWidth="1"/>
    <col min="4101" max="4102" width="21.28515625" style="7" customWidth="1"/>
    <col min="4103" max="4103" width="12.7109375" style="7" customWidth="1"/>
    <col min="4104" max="4104" width="14.7109375" style="7" bestFit="1" customWidth="1"/>
    <col min="4105" max="4110" width="13.42578125" style="7" customWidth="1"/>
    <col min="4111" max="4111" width="14" style="7" customWidth="1"/>
    <col min="4112" max="4112" width="13.5703125" style="7" bestFit="1" customWidth="1"/>
    <col min="4113" max="4113" width="15.28515625" style="7" bestFit="1" customWidth="1"/>
    <col min="4114" max="4114" width="12.85546875" style="7" bestFit="1" customWidth="1"/>
    <col min="4115" max="4352" width="11.42578125" style="7"/>
    <col min="4353" max="4354" width="3" style="7" customWidth="1"/>
    <col min="4355" max="4355" width="45.42578125" style="7" customWidth="1"/>
    <col min="4356" max="4356" width="21" style="7" bestFit="1" customWidth="1"/>
    <col min="4357" max="4358" width="21.28515625" style="7" customWidth="1"/>
    <col min="4359" max="4359" width="12.7109375" style="7" customWidth="1"/>
    <col min="4360" max="4360" width="14.7109375" style="7" bestFit="1" customWidth="1"/>
    <col min="4361" max="4366" width="13.42578125" style="7" customWidth="1"/>
    <col min="4367" max="4367" width="14" style="7" customWidth="1"/>
    <col min="4368" max="4368" width="13.5703125" style="7" bestFit="1" customWidth="1"/>
    <col min="4369" max="4369" width="15.28515625" style="7" bestFit="1" customWidth="1"/>
    <col min="4370" max="4370" width="12.85546875" style="7" bestFit="1" customWidth="1"/>
    <col min="4371" max="4608" width="11.42578125" style="7"/>
    <col min="4609" max="4610" width="3" style="7" customWidth="1"/>
    <col min="4611" max="4611" width="45.42578125" style="7" customWidth="1"/>
    <col min="4612" max="4612" width="21" style="7" bestFit="1" customWidth="1"/>
    <col min="4613" max="4614" width="21.28515625" style="7" customWidth="1"/>
    <col min="4615" max="4615" width="12.7109375" style="7" customWidth="1"/>
    <col min="4616" max="4616" width="14.7109375" style="7" bestFit="1" customWidth="1"/>
    <col min="4617" max="4622" width="13.42578125" style="7" customWidth="1"/>
    <col min="4623" max="4623" width="14" style="7" customWidth="1"/>
    <col min="4624" max="4624" width="13.5703125" style="7" bestFit="1" customWidth="1"/>
    <col min="4625" max="4625" width="15.28515625" style="7" bestFit="1" customWidth="1"/>
    <col min="4626" max="4626" width="12.85546875" style="7" bestFit="1" customWidth="1"/>
    <col min="4627" max="4864" width="11.42578125" style="7"/>
    <col min="4865" max="4866" width="3" style="7" customWidth="1"/>
    <col min="4867" max="4867" width="45.42578125" style="7" customWidth="1"/>
    <col min="4868" max="4868" width="21" style="7" bestFit="1" customWidth="1"/>
    <col min="4869" max="4870" width="21.28515625" style="7" customWidth="1"/>
    <col min="4871" max="4871" width="12.7109375" style="7" customWidth="1"/>
    <col min="4872" max="4872" width="14.7109375" style="7" bestFit="1" customWidth="1"/>
    <col min="4873" max="4878" width="13.42578125" style="7" customWidth="1"/>
    <col min="4879" max="4879" width="14" style="7" customWidth="1"/>
    <col min="4880" max="4880" width="13.5703125" style="7" bestFit="1" customWidth="1"/>
    <col min="4881" max="4881" width="15.28515625" style="7" bestFit="1" customWidth="1"/>
    <col min="4882" max="4882" width="12.85546875" style="7" bestFit="1" customWidth="1"/>
    <col min="4883" max="5120" width="11.42578125" style="7"/>
    <col min="5121" max="5122" width="3" style="7" customWidth="1"/>
    <col min="5123" max="5123" width="45.42578125" style="7" customWidth="1"/>
    <col min="5124" max="5124" width="21" style="7" bestFit="1" customWidth="1"/>
    <col min="5125" max="5126" width="21.28515625" style="7" customWidth="1"/>
    <col min="5127" max="5127" width="12.7109375" style="7" customWidth="1"/>
    <col min="5128" max="5128" width="14.7109375" style="7" bestFit="1" customWidth="1"/>
    <col min="5129" max="5134" width="13.42578125" style="7" customWidth="1"/>
    <col min="5135" max="5135" width="14" style="7" customWidth="1"/>
    <col min="5136" max="5136" width="13.5703125" style="7" bestFit="1" customWidth="1"/>
    <col min="5137" max="5137" width="15.28515625" style="7" bestFit="1" customWidth="1"/>
    <col min="5138" max="5138" width="12.85546875" style="7" bestFit="1" customWidth="1"/>
    <col min="5139" max="5376" width="11.42578125" style="7"/>
    <col min="5377" max="5378" width="3" style="7" customWidth="1"/>
    <col min="5379" max="5379" width="45.42578125" style="7" customWidth="1"/>
    <col min="5380" max="5380" width="21" style="7" bestFit="1" customWidth="1"/>
    <col min="5381" max="5382" width="21.28515625" style="7" customWidth="1"/>
    <col min="5383" max="5383" width="12.7109375" style="7" customWidth="1"/>
    <col min="5384" max="5384" width="14.7109375" style="7" bestFit="1" customWidth="1"/>
    <col min="5385" max="5390" width="13.42578125" style="7" customWidth="1"/>
    <col min="5391" max="5391" width="14" style="7" customWidth="1"/>
    <col min="5392" max="5392" width="13.5703125" style="7" bestFit="1" customWidth="1"/>
    <col min="5393" max="5393" width="15.28515625" style="7" bestFit="1" customWidth="1"/>
    <col min="5394" max="5394" width="12.85546875" style="7" bestFit="1" customWidth="1"/>
    <col min="5395" max="5632" width="11.42578125" style="7"/>
    <col min="5633" max="5634" width="3" style="7" customWidth="1"/>
    <col min="5635" max="5635" width="45.42578125" style="7" customWidth="1"/>
    <col min="5636" max="5636" width="21" style="7" bestFit="1" customWidth="1"/>
    <col min="5637" max="5638" width="21.28515625" style="7" customWidth="1"/>
    <col min="5639" max="5639" width="12.7109375" style="7" customWidth="1"/>
    <col min="5640" max="5640" width="14.7109375" style="7" bestFit="1" customWidth="1"/>
    <col min="5641" max="5646" width="13.42578125" style="7" customWidth="1"/>
    <col min="5647" max="5647" width="14" style="7" customWidth="1"/>
    <col min="5648" max="5648" width="13.5703125" style="7" bestFit="1" customWidth="1"/>
    <col min="5649" max="5649" width="15.28515625" style="7" bestFit="1" customWidth="1"/>
    <col min="5650" max="5650" width="12.85546875" style="7" bestFit="1" customWidth="1"/>
    <col min="5651" max="5888" width="11.42578125" style="7"/>
    <col min="5889" max="5890" width="3" style="7" customWidth="1"/>
    <col min="5891" max="5891" width="45.42578125" style="7" customWidth="1"/>
    <col min="5892" max="5892" width="21" style="7" bestFit="1" customWidth="1"/>
    <col min="5893" max="5894" width="21.28515625" style="7" customWidth="1"/>
    <col min="5895" max="5895" width="12.7109375" style="7" customWidth="1"/>
    <col min="5896" max="5896" width="14.7109375" style="7" bestFit="1" customWidth="1"/>
    <col min="5897" max="5902" width="13.42578125" style="7" customWidth="1"/>
    <col min="5903" max="5903" width="14" style="7" customWidth="1"/>
    <col min="5904" max="5904" width="13.5703125" style="7" bestFit="1" customWidth="1"/>
    <col min="5905" max="5905" width="15.28515625" style="7" bestFit="1" customWidth="1"/>
    <col min="5906" max="5906" width="12.85546875" style="7" bestFit="1" customWidth="1"/>
    <col min="5907" max="6144" width="11.42578125" style="7"/>
    <col min="6145" max="6146" width="3" style="7" customWidth="1"/>
    <col min="6147" max="6147" width="45.42578125" style="7" customWidth="1"/>
    <col min="6148" max="6148" width="21" style="7" bestFit="1" customWidth="1"/>
    <col min="6149" max="6150" width="21.28515625" style="7" customWidth="1"/>
    <col min="6151" max="6151" width="12.7109375" style="7" customWidth="1"/>
    <col min="6152" max="6152" width="14.7109375" style="7" bestFit="1" customWidth="1"/>
    <col min="6153" max="6158" width="13.42578125" style="7" customWidth="1"/>
    <col min="6159" max="6159" width="14" style="7" customWidth="1"/>
    <col min="6160" max="6160" width="13.5703125" style="7" bestFit="1" customWidth="1"/>
    <col min="6161" max="6161" width="15.28515625" style="7" bestFit="1" customWidth="1"/>
    <col min="6162" max="6162" width="12.85546875" style="7" bestFit="1" customWidth="1"/>
    <col min="6163" max="6400" width="11.42578125" style="7"/>
    <col min="6401" max="6402" width="3" style="7" customWidth="1"/>
    <col min="6403" max="6403" width="45.42578125" style="7" customWidth="1"/>
    <col min="6404" max="6404" width="21" style="7" bestFit="1" customWidth="1"/>
    <col min="6405" max="6406" width="21.28515625" style="7" customWidth="1"/>
    <col min="6407" max="6407" width="12.7109375" style="7" customWidth="1"/>
    <col min="6408" max="6408" width="14.7109375" style="7" bestFit="1" customWidth="1"/>
    <col min="6409" max="6414" width="13.42578125" style="7" customWidth="1"/>
    <col min="6415" max="6415" width="14" style="7" customWidth="1"/>
    <col min="6416" max="6416" width="13.5703125" style="7" bestFit="1" customWidth="1"/>
    <col min="6417" max="6417" width="15.28515625" style="7" bestFit="1" customWidth="1"/>
    <col min="6418" max="6418" width="12.85546875" style="7" bestFit="1" customWidth="1"/>
    <col min="6419" max="6656" width="11.42578125" style="7"/>
    <col min="6657" max="6658" width="3" style="7" customWidth="1"/>
    <col min="6659" max="6659" width="45.42578125" style="7" customWidth="1"/>
    <col min="6660" max="6660" width="21" style="7" bestFit="1" customWidth="1"/>
    <col min="6661" max="6662" width="21.28515625" style="7" customWidth="1"/>
    <col min="6663" max="6663" width="12.7109375" style="7" customWidth="1"/>
    <col min="6664" max="6664" width="14.7109375" style="7" bestFit="1" customWidth="1"/>
    <col min="6665" max="6670" width="13.42578125" style="7" customWidth="1"/>
    <col min="6671" max="6671" width="14" style="7" customWidth="1"/>
    <col min="6672" max="6672" width="13.5703125" style="7" bestFit="1" customWidth="1"/>
    <col min="6673" max="6673" width="15.28515625" style="7" bestFit="1" customWidth="1"/>
    <col min="6674" max="6674" width="12.85546875" style="7" bestFit="1" customWidth="1"/>
    <col min="6675" max="6912" width="11.42578125" style="7"/>
    <col min="6913" max="6914" width="3" style="7" customWidth="1"/>
    <col min="6915" max="6915" width="45.42578125" style="7" customWidth="1"/>
    <col min="6916" max="6916" width="21" style="7" bestFit="1" customWidth="1"/>
    <col min="6917" max="6918" width="21.28515625" style="7" customWidth="1"/>
    <col min="6919" max="6919" width="12.7109375" style="7" customWidth="1"/>
    <col min="6920" max="6920" width="14.7109375" style="7" bestFit="1" customWidth="1"/>
    <col min="6921" max="6926" width="13.42578125" style="7" customWidth="1"/>
    <col min="6927" max="6927" width="14" style="7" customWidth="1"/>
    <col min="6928" max="6928" width="13.5703125" style="7" bestFit="1" customWidth="1"/>
    <col min="6929" max="6929" width="15.28515625" style="7" bestFit="1" customWidth="1"/>
    <col min="6930" max="6930" width="12.85546875" style="7" bestFit="1" customWidth="1"/>
    <col min="6931" max="7168" width="11.42578125" style="7"/>
    <col min="7169" max="7170" width="3" style="7" customWidth="1"/>
    <col min="7171" max="7171" width="45.42578125" style="7" customWidth="1"/>
    <col min="7172" max="7172" width="21" style="7" bestFit="1" customWidth="1"/>
    <col min="7173" max="7174" width="21.28515625" style="7" customWidth="1"/>
    <col min="7175" max="7175" width="12.7109375" style="7" customWidth="1"/>
    <col min="7176" max="7176" width="14.7109375" style="7" bestFit="1" customWidth="1"/>
    <col min="7177" max="7182" width="13.42578125" style="7" customWidth="1"/>
    <col min="7183" max="7183" width="14" style="7" customWidth="1"/>
    <col min="7184" max="7184" width="13.5703125" style="7" bestFit="1" customWidth="1"/>
    <col min="7185" max="7185" width="15.28515625" style="7" bestFit="1" customWidth="1"/>
    <col min="7186" max="7186" width="12.85546875" style="7" bestFit="1" customWidth="1"/>
    <col min="7187" max="7424" width="11.42578125" style="7"/>
    <col min="7425" max="7426" width="3" style="7" customWidth="1"/>
    <col min="7427" max="7427" width="45.42578125" style="7" customWidth="1"/>
    <col min="7428" max="7428" width="21" style="7" bestFit="1" customWidth="1"/>
    <col min="7429" max="7430" width="21.28515625" style="7" customWidth="1"/>
    <col min="7431" max="7431" width="12.7109375" style="7" customWidth="1"/>
    <col min="7432" max="7432" width="14.7109375" style="7" bestFit="1" customWidth="1"/>
    <col min="7433" max="7438" width="13.42578125" style="7" customWidth="1"/>
    <col min="7439" max="7439" width="14" style="7" customWidth="1"/>
    <col min="7440" max="7440" width="13.5703125" style="7" bestFit="1" customWidth="1"/>
    <col min="7441" max="7441" width="15.28515625" style="7" bestFit="1" customWidth="1"/>
    <col min="7442" max="7442" width="12.85546875" style="7" bestFit="1" customWidth="1"/>
    <col min="7443" max="7680" width="11.42578125" style="7"/>
    <col min="7681" max="7682" width="3" style="7" customWidth="1"/>
    <col min="7683" max="7683" width="45.42578125" style="7" customWidth="1"/>
    <col min="7684" max="7684" width="21" style="7" bestFit="1" customWidth="1"/>
    <col min="7685" max="7686" width="21.28515625" style="7" customWidth="1"/>
    <col min="7687" max="7687" width="12.7109375" style="7" customWidth="1"/>
    <col min="7688" max="7688" width="14.7109375" style="7" bestFit="1" customWidth="1"/>
    <col min="7689" max="7694" width="13.42578125" style="7" customWidth="1"/>
    <col min="7695" max="7695" width="14" style="7" customWidth="1"/>
    <col min="7696" max="7696" width="13.5703125" style="7" bestFit="1" customWidth="1"/>
    <col min="7697" max="7697" width="15.28515625" style="7" bestFit="1" customWidth="1"/>
    <col min="7698" max="7698" width="12.85546875" style="7" bestFit="1" customWidth="1"/>
    <col min="7699" max="7936" width="11.42578125" style="7"/>
    <col min="7937" max="7938" width="3" style="7" customWidth="1"/>
    <col min="7939" max="7939" width="45.42578125" style="7" customWidth="1"/>
    <col min="7940" max="7940" width="21" style="7" bestFit="1" customWidth="1"/>
    <col min="7941" max="7942" width="21.28515625" style="7" customWidth="1"/>
    <col min="7943" max="7943" width="12.7109375" style="7" customWidth="1"/>
    <col min="7944" max="7944" width="14.7109375" style="7" bestFit="1" customWidth="1"/>
    <col min="7945" max="7950" width="13.42578125" style="7" customWidth="1"/>
    <col min="7951" max="7951" width="14" style="7" customWidth="1"/>
    <col min="7952" max="7952" width="13.5703125" style="7" bestFit="1" customWidth="1"/>
    <col min="7953" max="7953" width="15.28515625" style="7" bestFit="1" customWidth="1"/>
    <col min="7954" max="7954" width="12.85546875" style="7" bestFit="1" customWidth="1"/>
    <col min="7955" max="8192" width="11.42578125" style="7"/>
    <col min="8193" max="8194" width="3" style="7" customWidth="1"/>
    <col min="8195" max="8195" width="45.42578125" style="7" customWidth="1"/>
    <col min="8196" max="8196" width="21" style="7" bestFit="1" customWidth="1"/>
    <col min="8197" max="8198" width="21.28515625" style="7" customWidth="1"/>
    <col min="8199" max="8199" width="12.7109375" style="7" customWidth="1"/>
    <col min="8200" max="8200" width="14.7109375" style="7" bestFit="1" customWidth="1"/>
    <col min="8201" max="8206" width="13.42578125" style="7" customWidth="1"/>
    <col min="8207" max="8207" width="14" style="7" customWidth="1"/>
    <col min="8208" max="8208" width="13.5703125" style="7" bestFit="1" customWidth="1"/>
    <col min="8209" max="8209" width="15.28515625" style="7" bestFit="1" customWidth="1"/>
    <col min="8210" max="8210" width="12.85546875" style="7" bestFit="1" customWidth="1"/>
    <col min="8211" max="8448" width="11.42578125" style="7"/>
    <col min="8449" max="8450" width="3" style="7" customWidth="1"/>
    <col min="8451" max="8451" width="45.42578125" style="7" customWidth="1"/>
    <col min="8452" max="8452" width="21" style="7" bestFit="1" customWidth="1"/>
    <col min="8453" max="8454" width="21.28515625" style="7" customWidth="1"/>
    <col min="8455" max="8455" width="12.7109375" style="7" customWidth="1"/>
    <col min="8456" max="8456" width="14.7109375" style="7" bestFit="1" customWidth="1"/>
    <col min="8457" max="8462" width="13.42578125" style="7" customWidth="1"/>
    <col min="8463" max="8463" width="14" style="7" customWidth="1"/>
    <col min="8464" max="8464" width="13.5703125" style="7" bestFit="1" customWidth="1"/>
    <col min="8465" max="8465" width="15.28515625" style="7" bestFit="1" customWidth="1"/>
    <col min="8466" max="8466" width="12.85546875" style="7" bestFit="1" customWidth="1"/>
    <col min="8467" max="8704" width="11.42578125" style="7"/>
    <col min="8705" max="8706" width="3" style="7" customWidth="1"/>
    <col min="8707" max="8707" width="45.42578125" style="7" customWidth="1"/>
    <col min="8708" max="8708" width="21" style="7" bestFit="1" customWidth="1"/>
    <col min="8709" max="8710" width="21.28515625" style="7" customWidth="1"/>
    <col min="8711" max="8711" width="12.7109375" style="7" customWidth="1"/>
    <col min="8712" max="8712" width="14.7109375" style="7" bestFit="1" customWidth="1"/>
    <col min="8713" max="8718" width="13.42578125" style="7" customWidth="1"/>
    <col min="8719" max="8719" width="14" style="7" customWidth="1"/>
    <col min="8720" max="8720" width="13.5703125" style="7" bestFit="1" customWidth="1"/>
    <col min="8721" max="8721" width="15.28515625" style="7" bestFit="1" customWidth="1"/>
    <col min="8722" max="8722" width="12.85546875" style="7" bestFit="1" customWidth="1"/>
    <col min="8723" max="8960" width="11.42578125" style="7"/>
    <col min="8961" max="8962" width="3" style="7" customWidth="1"/>
    <col min="8963" max="8963" width="45.42578125" style="7" customWidth="1"/>
    <col min="8964" max="8964" width="21" style="7" bestFit="1" customWidth="1"/>
    <col min="8965" max="8966" width="21.28515625" style="7" customWidth="1"/>
    <col min="8967" max="8967" width="12.7109375" style="7" customWidth="1"/>
    <col min="8968" max="8968" width="14.7109375" style="7" bestFit="1" customWidth="1"/>
    <col min="8969" max="8974" width="13.42578125" style="7" customWidth="1"/>
    <col min="8975" max="8975" width="14" style="7" customWidth="1"/>
    <col min="8976" max="8976" width="13.5703125" style="7" bestFit="1" customWidth="1"/>
    <col min="8977" max="8977" width="15.28515625" style="7" bestFit="1" customWidth="1"/>
    <col min="8978" max="8978" width="12.85546875" style="7" bestFit="1" customWidth="1"/>
    <col min="8979" max="9216" width="11.42578125" style="7"/>
    <col min="9217" max="9218" width="3" style="7" customWidth="1"/>
    <col min="9219" max="9219" width="45.42578125" style="7" customWidth="1"/>
    <col min="9220" max="9220" width="21" style="7" bestFit="1" customWidth="1"/>
    <col min="9221" max="9222" width="21.28515625" style="7" customWidth="1"/>
    <col min="9223" max="9223" width="12.7109375" style="7" customWidth="1"/>
    <col min="9224" max="9224" width="14.7109375" style="7" bestFit="1" customWidth="1"/>
    <col min="9225" max="9230" width="13.42578125" style="7" customWidth="1"/>
    <col min="9231" max="9231" width="14" style="7" customWidth="1"/>
    <col min="9232" max="9232" width="13.5703125" style="7" bestFit="1" customWidth="1"/>
    <col min="9233" max="9233" width="15.28515625" style="7" bestFit="1" customWidth="1"/>
    <col min="9234" max="9234" width="12.85546875" style="7" bestFit="1" customWidth="1"/>
    <col min="9235" max="9472" width="11.42578125" style="7"/>
    <col min="9473" max="9474" width="3" style="7" customWidth="1"/>
    <col min="9475" max="9475" width="45.42578125" style="7" customWidth="1"/>
    <col min="9476" max="9476" width="21" style="7" bestFit="1" customWidth="1"/>
    <col min="9477" max="9478" width="21.28515625" style="7" customWidth="1"/>
    <col min="9479" max="9479" width="12.7109375" style="7" customWidth="1"/>
    <col min="9480" max="9480" width="14.7109375" style="7" bestFit="1" customWidth="1"/>
    <col min="9481" max="9486" width="13.42578125" style="7" customWidth="1"/>
    <col min="9487" max="9487" width="14" style="7" customWidth="1"/>
    <col min="9488" max="9488" width="13.5703125" style="7" bestFit="1" customWidth="1"/>
    <col min="9489" max="9489" width="15.28515625" style="7" bestFit="1" customWidth="1"/>
    <col min="9490" max="9490" width="12.85546875" style="7" bestFit="1" customWidth="1"/>
    <col min="9491" max="9728" width="11.42578125" style="7"/>
    <col min="9729" max="9730" width="3" style="7" customWidth="1"/>
    <col min="9731" max="9731" width="45.42578125" style="7" customWidth="1"/>
    <col min="9732" max="9732" width="21" style="7" bestFit="1" customWidth="1"/>
    <col min="9733" max="9734" width="21.28515625" style="7" customWidth="1"/>
    <col min="9735" max="9735" width="12.7109375" style="7" customWidth="1"/>
    <col min="9736" max="9736" width="14.7109375" style="7" bestFit="1" customWidth="1"/>
    <col min="9737" max="9742" width="13.42578125" style="7" customWidth="1"/>
    <col min="9743" max="9743" width="14" style="7" customWidth="1"/>
    <col min="9744" max="9744" width="13.5703125" style="7" bestFit="1" customWidth="1"/>
    <col min="9745" max="9745" width="15.28515625" style="7" bestFit="1" customWidth="1"/>
    <col min="9746" max="9746" width="12.85546875" style="7" bestFit="1" customWidth="1"/>
    <col min="9747" max="9984" width="11.42578125" style="7"/>
    <col min="9985" max="9986" width="3" style="7" customWidth="1"/>
    <col min="9987" max="9987" width="45.42578125" style="7" customWidth="1"/>
    <col min="9988" max="9988" width="21" style="7" bestFit="1" customWidth="1"/>
    <col min="9989" max="9990" width="21.28515625" style="7" customWidth="1"/>
    <col min="9991" max="9991" width="12.7109375" style="7" customWidth="1"/>
    <col min="9992" max="9992" width="14.7109375" style="7" bestFit="1" customWidth="1"/>
    <col min="9993" max="9998" width="13.42578125" style="7" customWidth="1"/>
    <col min="9999" max="9999" width="14" style="7" customWidth="1"/>
    <col min="10000" max="10000" width="13.5703125" style="7" bestFit="1" customWidth="1"/>
    <col min="10001" max="10001" width="15.28515625" style="7" bestFit="1" customWidth="1"/>
    <col min="10002" max="10002" width="12.85546875" style="7" bestFit="1" customWidth="1"/>
    <col min="10003" max="10240" width="11.42578125" style="7"/>
    <col min="10241" max="10242" width="3" style="7" customWidth="1"/>
    <col min="10243" max="10243" width="45.42578125" style="7" customWidth="1"/>
    <col min="10244" max="10244" width="21" style="7" bestFit="1" customWidth="1"/>
    <col min="10245" max="10246" width="21.28515625" style="7" customWidth="1"/>
    <col min="10247" max="10247" width="12.7109375" style="7" customWidth="1"/>
    <col min="10248" max="10248" width="14.7109375" style="7" bestFit="1" customWidth="1"/>
    <col min="10249" max="10254" width="13.42578125" style="7" customWidth="1"/>
    <col min="10255" max="10255" width="14" style="7" customWidth="1"/>
    <col min="10256" max="10256" width="13.5703125" style="7" bestFit="1" customWidth="1"/>
    <col min="10257" max="10257" width="15.28515625" style="7" bestFit="1" customWidth="1"/>
    <col min="10258" max="10258" width="12.85546875" style="7" bestFit="1" customWidth="1"/>
    <col min="10259" max="10496" width="11.42578125" style="7"/>
    <col min="10497" max="10498" width="3" style="7" customWidth="1"/>
    <col min="10499" max="10499" width="45.42578125" style="7" customWidth="1"/>
    <col min="10500" max="10500" width="21" style="7" bestFit="1" customWidth="1"/>
    <col min="10501" max="10502" width="21.28515625" style="7" customWidth="1"/>
    <col min="10503" max="10503" width="12.7109375" style="7" customWidth="1"/>
    <col min="10504" max="10504" width="14.7109375" style="7" bestFit="1" customWidth="1"/>
    <col min="10505" max="10510" width="13.42578125" style="7" customWidth="1"/>
    <col min="10511" max="10511" width="14" style="7" customWidth="1"/>
    <col min="10512" max="10512" width="13.5703125" style="7" bestFit="1" customWidth="1"/>
    <col min="10513" max="10513" width="15.28515625" style="7" bestFit="1" customWidth="1"/>
    <col min="10514" max="10514" width="12.85546875" style="7" bestFit="1" customWidth="1"/>
    <col min="10515" max="10752" width="11.42578125" style="7"/>
    <col min="10753" max="10754" width="3" style="7" customWidth="1"/>
    <col min="10755" max="10755" width="45.42578125" style="7" customWidth="1"/>
    <col min="10756" max="10756" width="21" style="7" bestFit="1" customWidth="1"/>
    <col min="10757" max="10758" width="21.28515625" style="7" customWidth="1"/>
    <col min="10759" max="10759" width="12.7109375" style="7" customWidth="1"/>
    <col min="10760" max="10760" width="14.7109375" style="7" bestFit="1" customWidth="1"/>
    <col min="10761" max="10766" width="13.42578125" style="7" customWidth="1"/>
    <col min="10767" max="10767" width="14" style="7" customWidth="1"/>
    <col min="10768" max="10768" width="13.5703125" style="7" bestFit="1" customWidth="1"/>
    <col min="10769" max="10769" width="15.28515625" style="7" bestFit="1" customWidth="1"/>
    <col min="10770" max="10770" width="12.85546875" style="7" bestFit="1" customWidth="1"/>
    <col min="10771" max="11008" width="11.42578125" style="7"/>
    <col min="11009" max="11010" width="3" style="7" customWidth="1"/>
    <col min="11011" max="11011" width="45.42578125" style="7" customWidth="1"/>
    <col min="11012" max="11012" width="21" style="7" bestFit="1" customWidth="1"/>
    <col min="11013" max="11014" width="21.28515625" style="7" customWidth="1"/>
    <col min="11015" max="11015" width="12.7109375" style="7" customWidth="1"/>
    <col min="11016" max="11016" width="14.7109375" style="7" bestFit="1" customWidth="1"/>
    <col min="11017" max="11022" width="13.42578125" style="7" customWidth="1"/>
    <col min="11023" max="11023" width="14" style="7" customWidth="1"/>
    <col min="11024" max="11024" width="13.5703125" style="7" bestFit="1" customWidth="1"/>
    <col min="11025" max="11025" width="15.28515625" style="7" bestFit="1" customWidth="1"/>
    <col min="11026" max="11026" width="12.85546875" style="7" bestFit="1" customWidth="1"/>
    <col min="11027" max="11264" width="11.42578125" style="7"/>
    <col min="11265" max="11266" width="3" style="7" customWidth="1"/>
    <col min="11267" max="11267" width="45.42578125" style="7" customWidth="1"/>
    <col min="11268" max="11268" width="21" style="7" bestFit="1" customWidth="1"/>
    <col min="11269" max="11270" width="21.28515625" style="7" customWidth="1"/>
    <col min="11271" max="11271" width="12.7109375" style="7" customWidth="1"/>
    <col min="11272" max="11272" width="14.7109375" style="7" bestFit="1" customWidth="1"/>
    <col min="11273" max="11278" width="13.42578125" style="7" customWidth="1"/>
    <col min="11279" max="11279" width="14" style="7" customWidth="1"/>
    <col min="11280" max="11280" width="13.5703125" style="7" bestFit="1" customWidth="1"/>
    <col min="11281" max="11281" width="15.28515625" style="7" bestFit="1" customWidth="1"/>
    <col min="11282" max="11282" width="12.85546875" style="7" bestFit="1" customWidth="1"/>
    <col min="11283" max="11520" width="11.42578125" style="7"/>
    <col min="11521" max="11522" width="3" style="7" customWidth="1"/>
    <col min="11523" max="11523" width="45.42578125" style="7" customWidth="1"/>
    <col min="11524" max="11524" width="21" style="7" bestFit="1" customWidth="1"/>
    <col min="11525" max="11526" width="21.28515625" style="7" customWidth="1"/>
    <col min="11527" max="11527" width="12.7109375" style="7" customWidth="1"/>
    <col min="11528" max="11528" width="14.7109375" style="7" bestFit="1" customWidth="1"/>
    <col min="11529" max="11534" width="13.42578125" style="7" customWidth="1"/>
    <col min="11535" max="11535" width="14" style="7" customWidth="1"/>
    <col min="11536" max="11536" width="13.5703125" style="7" bestFit="1" customWidth="1"/>
    <col min="11537" max="11537" width="15.28515625" style="7" bestFit="1" customWidth="1"/>
    <col min="11538" max="11538" width="12.85546875" style="7" bestFit="1" customWidth="1"/>
    <col min="11539" max="11776" width="11.42578125" style="7"/>
    <col min="11777" max="11778" width="3" style="7" customWidth="1"/>
    <col min="11779" max="11779" width="45.42578125" style="7" customWidth="1"/>
    <col min="11780" max="11780" width="21" style="7" bestFit="1" customWidth="1"/>
    <col min="11781" max="11782" width="21.28515625" style="7" customWidth="1"/>
    <col min="11783" max="11783" width="12.7109375" style="7" customWidth="1"/>
    <col min="11784" max="11784" width="14.7109375" style="7" bestFit="1" customWidth="1"/>
    <col min="11785" max="11790" width="13.42578125" style="7" customWidth="1"/>
    <col min="11791" max="11791" width="14" style="7" customWidth="1"/>
    <col min="11792" max="11792" width="13.5703125" style="7" bestFit="1" customWidth="1"/>
    <col min="11793" max="11793" width="15.28515625" style="7" bestFit="1" customWidth="1"/>
    <col min="11794" max="11794" width="12.85546875" style="7" bestFit="1" customWidth="1"/>
    <col min="11795" max="12032" width="11.42578125" style="7"/>
    <col min="12033" max="12034" width="3" style="7" customWidth="1"/>
    <col min="12035" max="12035" width="45.42578125" style="7" customWidth="1"/>
    <col min="12036" max="12036" width="21" style="7" bestFit="1" customWidth="1"/>
    <col min="12037" max="12038" width="21.28515625" style="7" customWidth="1"/>
    <col min="12039" max="12039" width="12.7109375" style="7" customWidth="1"/>
    <col min="12040" max="12040" width="14.7109375" style="7" bestFit="1" customWidth="1"/>
    <col min="12041" max="12046" width="13.42578125" style="7" customWidth="1"/>
    <col min="12047" max="12047" width="14" style="7" customWidth="1"/>
    <col min="12048" max="12048" width="13.5703125" style="7" bestFit="1" customWidth="1"/>
    <col min="12049" max="12049" width="15.28515625" style="7" bestFit="1" customWidth="1"/>
    <col min="12050" max="12050" width="12.85546875" style="7" bestFit="1" customWidth="1"/>
    <col min="12051" max="12288" width="11.42578125" style="7"/>
    <col min="12289" max="12290" width="3" style="7" customWidth="1"/>
    <col min="12291" max="12291" width="45.42578125" style="7" customWidth="1"/>
    <col min="12292" max="12292" width="21" style="7" bestFit="1" customWidth="1"/>
    <col min="12293" max="12294" width="21.28515625" style="7" customWidth="1"/>
    <col min="12295" max="12295" width="12.7109375" style="7" customWidth="1"/>
    <col min="12296" max="12296" width="14.7109375" style="7" bestFit="1" customWidth="1"/>
    <col min="12297" max="12302" width="13.42578125" style="7" customWidth="1"/>
    <col min="12303" max="12303" width="14" style="7" customWidth="1"/>
    <col min="12304" max="12304" width="13.5703125" style="7" bestFit="1" customWidth="1"/>
    <col min="12305" max="12305" width="15.28515625" style="7" bestFit="1" customWidth="1"/>
    <col min="12306" max="12306" width="12.85546875" style="7" bestFit="1" customWidth="1"/>
    <col min="12307" max="12544" width="11.42578125" style="7"/>
    <col min="12545" max="12546" width="3" style="7" customWidth="1"/>
    <col min="12547" max="12547" width="45.42578125" style="7" customWidth="1"/>
    <col min="12548" max="12548" width="21" style="7" bestFit="1" customWidth="1"/>
    <col min="12549" max="12550" width="21.28515625" style="7" customWidth="1"/>
    <col min="12551" max="12551" width="12.7109375" style="7" customWidth="1"/>
    <col min="12552" max="12552" width="14.7109375" style="7" bestFit="1" customWidth="1"/>
    <col min="12553" max="12558" width="13.42578125" style="7" customWidth="1"/>
    <col min="12559" max="12559" width="14" style="7" customWidth="1"/>
    <col min="12560" max="12560" width="13.5703125" style="7" bestFit="1" customWidth="1"/>
    <col min="12561" max="12561" width="15.28515625" style="7" bestFit="1" customWidth="1"/>
    <col min="12562" max="12562" width="12.85546875" style="7" bestFit="1" customWidth="1"/>
    <col min="12563" max="12800" width="11.42578125" style="7"/>
    <col min="12801" max="12802" width="3" style="7" customWidth="1"/>
    <col min="12803" max="12803" width="45.42578125" style="7" customWidth="1"/>
    <col min="12804" max="12804" width="21" style="7" bestFit="1" customWidth="1"/>
    <col min="12805" max="12806" width="21.28515625" style="7" customWidth="1"/>
    <col min="12807" max="12807" width="12.7109375" style="7" customWidth="1"/>
    <col min="12808" max="12808" width="14.7109375" style="7" bestFit="1" customWidth="1"/>
    <col min="12809" max="12814" width="13.42578125" style="7" customWidth="1"/>
    <col min="12815" max="12815" width="14" style="7" customWidth="1"/>
    <col min="12816" max="12816" width="13.5703125" style="7" bestFit="1" customWidth="1"/>
    <col min="12817" max="12817" width="15.28515625" style="7" bestFit="1" customWidth="1"/>
    <col min="12818" max="12818" width="12.85546875" style="7" bestFit="1" customWidth="1"/>
    <col min="12819" max="13056" width="11.42578125" style="7"/>
    <col min="13057" max="13058" width="3" style="7" customWidth="1"/>
    <col min="13059" max="13059" width="45.42578125" style="7" customWidth="1"/>
    <col min="13060" max="13060" width="21" style="7" bestFit="1" customWidth="1"/>
    <col min="13061" max="13062" width="21.28515625" style="7" customWidth="1"/>
    <col min="13063" max="13063" width="12.7109375" style="7" customWidth="1"/>
    <col min="13064" max="13064" width="14.7109375" style="7" bestFit="1" customWidth="1"/>
    <col min="13065" max="13070" width="13.42578125" style="7" customWidth="1"/>
    <col min="13071" max="13071" width="14" style="7" customWidth="1"/>
    <col min="13072" max="13072" width="13.5703125" style="7" bestFit="1" customWidth="1"/>
    <col min="13073" max="13073" width="15.28515625" style="7" bestFit="1" customWidth="1"/>
    <col min="13074" max="13074" width="12.85546875" style="7" bestFit="1" customWidth="1"/>
    <col min="13075" max="13312" width="11.42578125" style="7"/>
    <col min="13313" max="13314" width="3" style="7" customWidth="1"/>
    <col min="13315" max="13315" width="45.42578125" style="7" customWidth="1"/>
    <col min="13316" max="13316" width="21" style="7" bestFit="1" customWidth="1"/>
    <col min="13317" max="13318" width="21.28515625" style="7" customWidth="1"/>
    <col min="13319" max="13319" width="12.7109375" style="7" customWidth="1"/>
    <col min="13320" max="13320" width="14.7109375" style="7" bestFit="1" customWidth="1"/>
    <col min="13321" max="13326" width="13.42578125" style="7" customWidth="1"/>
    <col min="13327" max="13327" width="14" style="7" customWidth="1"/>
    <col min="13328" max="13328" width="13.5703125" style="7" bestFit="1" customWidth="1"/>
    <col min="13329" max="13329" width="15.28515625" style="7" bestFit="1" customWidth="1"/>
    <col min="13330" max="13330" width="12.85546875" style="7" bestFit="1" customWidth="1"/>
    <col min="13331" max="13568" width="11.42578125" style="7"/>
    <col min="13569" max="13570" width="3" style="7" customWidth="1"/>
    <col min="13571" max="13571" width="45.42578125" style="7" customWidth="1"/>
    <col min="13572" max="13572" width="21" style="7" bestFit="1" customWidth="1"/>
    <col min="13573" max="13574" width="21.28515625" style="7" customWidth="1"/>
    <col min="13575" max="13575" width="12.7109375" style="7" customWidth="1"/>
    <col min="13576" max="13576" width="14.7109375" style="7" bestFit="1" customWidth="1"/>
    <col min="13577" max="13582" width="13.42578125" style="7" customWidth="1"/>
    <col min="13583" max="13583" width="14" style="7" customWidth="1"/>
    <col min="13584" max="13584" width="13.5703125" style="7" bestFit="1" customWidth="1"/>
    <col min="13585" max="13585" width="15.28515625" style="7" bestFit="1" customWidth="1"/>
    <col min="13586" max="13586" width="12.85546875" style="7" bestFit="1" customWidth="1"/>
    <col min="13587" max="13824" width="11.42578125" style="7"/>
    <col min="13825" max="13826" width="3" style="7" customWidth="1"/>
    <col min="13827" max="13827" width="45.42578125" style="7" customWidth="1"/>
    <col min="13828" max="13828" width="21" style="7" bestFit="1" customWidth="1"/>
    <col min="13829" max="13830" width="21.28515625" style="7" customWidth="1"/>
    <col min="13831" max="13831" width="12.7109375" style="7" customWidth="1"/>
    <col min="13832" max="13832" width="14.7109375" style="7" bestFit="1" customWidth="1"/>
    <col min="13833" max="13838" width="13.42578125" style="7" customWidth="1"/>
    <col min="13839" max="13839" width="14" style="7" customWidth="1"/>
    <col min="13840" max="13840" width="13.5703125" style="7" bestFit="1" customWidth="1"/>
    <col min="13841" max="13841" width="15.28515625" style="7" bestFit="1" customWidth="1"/>
    <col min="13842" max="13842" width="12.85546875" style="7" bestFit="1" customWidth="1"/>
    <col min="13843" max="14080" width="11.42578125" style="7"/>
    <col min="14081" max="14082" width="3" style="7" customWidth="1"/>
    <col min="14083" max="14083" width="45.42578125" style="7" customWidth="1"/>
    <col min="14084" max="14084" width="21" style="7" bestFit="1" customWidth="1"/>
    <col min="14085" max="14086" width="21.28515625" style="7" customWidth="1"/>
    <col min="14087" max="14087" width="12.7109375" style="7" customWidth="1"/>
    <col min="14088" max="14088" width="14.7109375" style="7" bestFit="1" customWidth="1"/>
    <col min="14089" max="14094" width="13.42578125" style="7" customWidth="1"/>
    <col min="14095" max="14095" width="14" style="7" customWidth="1"/>
    <col min="14096" max="14096" width="13.5703125" style="7" bestFit="1" customWidth="1"/>
    <col min="14097" max="14097" width="15.28515625" style="7" bestFit="1" customWidth="1"/>
    <col min="14098" max="14098" width="12.85546875" style="7" bestFit="1" customWidth="1"/>
    <col min="14099" max="14336" width="11.42578125" style="7"/>
    <col min="14337" max="14338" width="3" style="7" customWidth="1"/>
    <col min="14339" max="14339" width="45.42578125" style="7" customWidth="1"/>
    <col min="14340" max="14340" width="21" style="7" bestFit="1" customWidth="1"/>
    <col min="14341" max="14342" width="21.28515625" style="7" customWidth="1"/>
    <col min="14343" max="14343" width="12.7109375" style="7" customWidth="1"/>
    <col min="14344" max="14344" width="14.7109375" style="7" bestFit="1" customWidth="1"/>
    <col min="14345" max="14350" width="13.42578125" style="7" customWidth="1"/>
    <col min="14351" max="14351" width="14" style="7" customWidth="1"/>
    <col min="14352" max="14352" width="13.5703125" style="7" bestFit="1" customWidth="1"/>
    <col min="14353" max="14353" width="15.28515625" style="7" bestFit="1" customWidth="1"/>
    <col min="14354" max="14354" width="12.85546875" style="7" bestFit="1" customWidth="1"/>
    <col min="14355" max="14592" width="11.42578125" style="7"/>
    <col min="14593" max="14594" width="3" style="7" customWidth="1"/>
    <col min="14595" max="14595" width="45.42578125" style="7" customWidth="1"/>
    <col min="14596" max="14596" width="21" style="7" bestFit="1" customWidth="1"/>
    <col min="14597" max="14598" width="21.28515625" style="7" customWidth="1"/>
    <col min="14599" max="14599" width="12.7109375" style="7" customWidth="1"/>
    <col min="14600" max="14600" width="14.7109375" style="7" bestFit="1" customWidth="1"/>
    <col min="14601" max="14606" width="13.42578125" style="7" customWidth="1"/>
    <col min="14607" max="14607" width="14" style="7" customWidth="1"/>
    <col min="14608" max="14608" width="13.5703125" style="7" bestFit="1" customWidth="1"/>
    <col min="14609" max="14609" width="15.28515625" style="7" bestFit="1" customWidth="1"/>
    <col min="14610" max="14610" width="12.85546875" style="7" bestFit="1" customWidth="1"/>
    <col min="14611" max="14848" width="11.42578125" style="7"/>
    <col min="14849" max="14850" width="3" style="7" customWidth="1"/>
    <col min="14851" max="14851" width="45.42578125" style="7" customWidth="1"/>
    <col min="14852" max="14852" width="21" style="7" bestFit="1" customWidth="1"/>
    <col min="14853" max="14854" width="21.28515625" style="7" customWidth="1"/>
    <col min="14855" max="14855" width="12.7109375" style="7" customWidth="1"/>
    <col min="14856" max="14856" width="14.7109375" style="7" bestFit="1" customWidth="1"/>
    <col min="14857" max="14862" width="13.42578125" style="7" customWidth="1"/>
    <col min="14863" max="14863" width="14" style="7" customWidth="1"/>
    <col min="14864" max="14864" width="13.5703125" style="7" bestFit="1" customWidth="1"/>
    <col min="14865" max="14865" width="15.28515625" style="7" bestFit="1" customWidth="1"/>
    <col min="14866" max="14866" width="12.85546875" style="7" bestFit="1" customWidth="1"/>
    <col min="14867" max="15104" width="11.42578125" style="7"/>
    <col min="15105" max="15106" width="3" style="7" customWidth="1"/>
    <col min="15107" max="15107" width="45.42578125" style="7" customWidth="1"/>
    <col min="15108" max="15108" width="21" style="7" bestFit="1" customWidth="1"/>
    <col min="15109" max="15110" width="21.28515625" style="7" customWidth="1"/>
    <col min="15111" max="15111" width="12.7109375" style="7" customWidth="1"/>
    <col min="15112" max="15112" width="14.7109375" style="7" bestFit="1" customWidth="1"/>
    <col min="15113" max="15118" width="13.42578125" style="7" customWidth="1"/>
    <col min="15119" max="15119" width="14" style="7" customWidth="1"/>
    <col min="15120" max="15120" width="13.5703125" style="7" bestFit="1" customWidth="1"/>
    <col min="15121" max="15121" width="15.28515625" style="7" bestFit="1" customWidth="1"/>
    <col min="15122" max="15122" width="12.85546875" style="7" bestFit="1" customWidth="1"/>
    <col min="15123" max="15360" width="11.42578125" style="7"/>
    <col min="15361" max="15362" width="3" style="7" customWidth="1"/>
    <col min="15363" max="15363" width="45.42578125" style="7" customWidth="1"/>
    <col min="15364" max="15364" width="21" style="7" bestFit="1" customWidth="1"/>
    <col min="15365" max="15366" width="21.28515625" style="7" customWidth="1"/>
    <col min="15367" max="15367" width="12.7109375" style="7" customWidth="1"/>
    <col min="15368" max="15368" width="14.7109375" style="7" bestFit="1" customWidth="1"/>
    <col min="15369" max="15374" width="13.42578125" style="7" customWidth="1"/>
    <col min="15375" max="15375" width="14" style="7" customWidth="1"/>
    <col min="15376" max="15376" width="13.5703125" style="7" bestFit="1" customWidth="1"/>
    <col min="15377" max="15377" width="15.28515625" style="7" bestFit="1" customWidth="1"/>
    <col min="15378" max="15378" width="12.85546875" style="7" bestFit="1" customWidth="1"/>
    <col min="15379" max="15616" width="11.42578125" style="7"/>
    <col min="15617" max="15618" width="3" style="7" customWidth="1"/>
    <col min="15619" max="15619" width="45.42578125" style="7" customWidth="1"/>
    <col min="15620" max="15620" width="21" style="7" bestFit="1" customWidth="1"/>
    <col min="15621" max="15622" width="21.28515625" style="7" customWidth="1"/>
    <col min="15623" max="15623" width="12.7109375" style="7" customWidth="1"/>
    <col min="15624" max="15624" width="14.7109375" style="7" bestFit="1" customWidth="1"/>
    <col min="15625" max="15630" width="13.42578125" style="7" customWidth="1"/>
    <col min="15631" max="15631" width="14" style="7" customWidth="1"/>
    <col min="15632" max="15632" width="13.5703125" style="7" bestFit="1" customWidth="1"/>
    <col min="15633" max="15633" width="15.28515625" style="7" bestFit="1" customWidth="1"/>
    <col min="15634" max="15634" width="12.85546875" style="7" bestFit="1" customWidth="1"/>
    <col min="15635" max="15872" width="11.42578125" style="7"/>
    <col min="15873" max="15874" width="3" style="7" customWidth="1"/>
    <col min="15875" max="15875" width="45.42578125" style="7" customWidth="1"/>
    <col min="15876" max="15876" width="21" style="7" bestFit="1" customWidth="1"/>
    <col min="15877" max="15878" width="21.28515625" style="7" customWidth="1"/>
    <col min="15879" max="15879" width="12.7109375" style="7" customWidth="1"/>
    <col min="15880" max="15880" width="14.7109375" style="7" bestFit="1" customWidth="1"/>
    <col min="15881" max="15886" width="13.42578125" style="7" customWidth="1"/>
    <col min="15887" max="15887" width="14" style="7" customWidth="1"/>
    <col min="15888" max="15888" width="13.5703125" style="7" bestFit="1" customWidth="1"/>
    <col min="15889" max="15889" width="15.28515625" style="7" bestFit="1" customWidth="1"/>
    <col min="15890" max="15890" width="12.85546875" style="7" bestFit="1" customWidth="1"/>
    <col min="15891" max="16128" width="11.42578125" style="7"/>
    <col min="16129" max="16130" width="3" style="7" customWidth="1"/>
    <col min="16131" max="16131" width="45.42578125" style="7" customWidth="1"/>
    <col min="16132" max="16132" width="21" style="7" bestFit="1" customWidth="1"/>
    <col min="16133" max="16134" width="21.28515625" style="7" customWidth="1"/>
    <col min="16135" max="16135" width="12.7109375" style="7" customWidth="1"/>
    <col min="16136" max="16136" width="14.7109375" style="7" bestFit="1" customWidth="1"/>
    <col min="16137" max="16142" width="13.42578125" style="7" customWidth="1"/>
    <col min="16143" max="16143" width="14" style="7" customWidth="1"/>
    <col min="16144" max="16144" width="13.5703125" style="7" bestFit="1" customWidth="1"/>
    <col min="16145" max="16145" width="15.28515625" style="7" bestFit="1" customWidth="1"/>
    <col min="16146" max="16146" width="12.85546875" style="7" bestFit="1" customWidth="1"/>
    <col min="16147" max="16384" width="11.42578125" style="7"/>
  </cols>
  <sheetData>
    <row r="1" spans="1:18" ht="23.25" customHeight="1" x14ac:dyDescent="0.25">
      <c r="A1" s="1"/>
      <c r="B1" s="1"/>
      <c r="C1" s="2"/>
      <c r="D1" s="2"/>
      <c r="E1" s="2"/>
      <c r="F1" s="2"/>
      <c r="H1" s="2"/>
      <c r="I1" s="4"/>
      <c r="J1" s="5"/>
      <c r="K1" s="5"/>
      <c r="L1" s="5"/>
      <c r="M1" s="5"/>
      <c r="N1" s="5"/>
    </row>
    <row r="2" spans="1:18" ht="23.25" customHeight="1" x14ac:dyDescent="0.25">
      <c r="A2" s="1"/>
      <c r="B2" s="1"/>
      <c r="D2" s="2"/>
      <c r="E2" s="2"/>
      <c r="F2" s="2"/>
      <c r="I2" s="64"/>
      <c r="J2" s="64"/>
      <c r="K2" s="64"/>
      <c r="L2" s="64"/>
      <c r="M2" s="64"/>
      <c r="N2" s="64"/>
    </row>
    <row r="3" spans="1:18" ht="23.25" customHeight="1" x14ac:dyDescent="0.25">
      <c r="I3" s="5"/>
      <c r="J3" s="5"/>
      <c r="K3" s="5"/>
      <c r="L3" s="5"/>
      <c r="M3" s="5"/>
      <c r="N3" s="5"/>
    </row>
    <row r="4" spans="1:18" ht="26.25" customHeight="1" x14ac:dyDescent="0.25">
      <c r="A4" s="9" t="s">
        <v>0</v>
      </c>
      <c r="B4" s="9"/>
      <c r="C4" s="9"/>
      <c r="D4" s="10" t="s">
        <v>1</v>
      </c>
      <c r="E4" s="11" t="s">
        <v>2</v>
      </c>
      <c r="F4" s="11" t="s">
        <v>3</v>
      </c>
      <c r="G4" s="12" t="s">
        <v>4</v>
      </c>
      <c r="H4" s="10" t="s">
        <v>5</v>
      </c>
      <c r="I4" s="10" t="s">
        <v>6</v>
      </c>
      <c r="J4" s="10"/>
      <c r="K4" s="10"/>
      <c r="L4" s="10"/>
      <c r="M4" s="10"/>
      <c r="N4" s="10"/>
      <c r="P4" s="13"/>
    </row>
    <row r="5" spans="1:18" ht="26.25" customHeight="1" x14ac:dyDescent="0.25">
      <c r="A5" s="9"/>
      <c r="B5" s="9"/>
      <c r="C5" s="9"/>
      <c r="D5" s="10"/>
      <c r="E5" s="11"/>
      <c r="F5" s="11"/>
      <c r="G5" s="12" t="s">
        <v>57</v>
      </c>
      <c r="H5" s="10"/>
      <c r="I5" s="15" t="s">
        <v>7</v>
      </c>
      <c r="J5" s="15" t="s">
        <v>8</v>
      </c>
      <c r="K5" s="15" t="s">
        <v>9</v>
      </c>
      <c r="L5" s="15" t="s">
        <v>58</v>
      </c>
      <c r="M5" s="15" t="s">
        <v>59</v>
      </c>
      <c r="N5" s="15" t="s">
        <v>12</v>
      </c>
      <c r="P5" s="13"/>
    </row>
    <row r="6" spans="1:18" s="16" customFormat="1" ht="4.5" customHeight="1" x14ac:dyDescent="0.25">
      <c r="A6" s="65"/>
      <c r="B6" s="66"/>
      <c r="C6" s="67"/>
      <c r="D6" s="66"/>
      <c r="E6" s="68"/>
      <c r="F6" s="68"/>
      <c r="G6" s="69"/>
      <c r="H6" s="70"/>
      <c r="I6" s="71"/>
      <c r="J6" s="71"/>
      <c r="K6" s="71"/>
      <c r="L6" s="71"/>
      <c r="M6" s="71"/>
      <c r="N6" s="71"/>
      <c r="O6" s="72"/>
      <c r="P6" s="73"/>
      <c r="Q6" s="66"/>
      <c r="R6" s="7"/>
    </row>
    <row r="7" spans="1:18" x14ac:dyDescent="0.25">
      <c r="A7" s="65"/>
      <c r="B7" s="67" t="s">
        <v>13</v>
      </c>
      <c r="C7" s="65"/>
      <c r="D7" s="65"/>
      <c r="E7" s="65"/>
      <c r="F7" s="65"/>
      <c r="G7" s="74"/>
      <c r="H7" s="65"/>
      <c r="I7" s="75"/>
      <c r="J7" s="75"/>
      <c r="K7" s="75"/>
      <c r="L7" s="75"/>
      <c r="M7" s="75"/>
      <c r="N7" s="75"/>
      <c r="O7" s="72"/>
      <c r="P7" s="73"/>
      <c r="Q7" s="65"/>
    </row>
    <row r="8" spans="1:18" ht="4.5" customHeight="1" x14ac:dyDescent="0.25">
      <c r="A8" s="65"/>
      <c r="B8" s="67"/>
      <c r="C8" s="65"/>
      <c r="D8" s="65"/>
      <c r="E8" s="76"/>
      <c r="F8" s="76"/>
      <c r="G8" s="74"/>
      <c r="H8" s="65"/>
      <c r="I8" s="75"/>
      <c r="J8" s="75"/>
      <c r="K8" s="75"/>
      <c r="L8" s="75"/>
      <c r="M8" s="75"/>
      <c r="N8" s="75"/>
      <c r="O8" s="72"/>
      <c r="P8" s="73"/>
      <c r="Q8" s="65"/>
    </row>
    <row r="9" spans="1:18" x14ac:dyDescent="0.25">
      <c r="A9" s="65"/>
      <c r="B9" s="65"/>
      <c r="C9" s="65" t="s">
        <v>14</v>
      </c>
      <c r="D9" s="27" t="s">
        <v>15</v>
      </c>
      <c r="E9" s="77">
        <v>5.2499999999999998E-2</v>
      </c>
      <c r="F9" s="78" t="s">
        <v>60</v>
      </c>
      <c r="G9" s="79">
        <v>4152.5272725100003</v>
      </c>
      <c r="H9" s="80" t="s">
        <v>17</v>
      </c>
      <c r="I9" s="79">
        <v>34.315035440000429</v>
      </c>
      <c r="J9" s="79">
        <v>2355.8547506563414</v>
      </c>
      <c r="K9" s="79">
        <v>-2.0225535581706926</v>
      </c>
      <c r="L9" s="79">
        <v>-2.0225535581706926</v>
      </c>
      <c r="M9" s="79">
        <v>1766.4025935300006</v>
      </c>
      <c r="N9" s="79">
        <v>0</v>
      </c>
      <c r="O9" s="81"/>
      <c r="P9" s="73"/>
      <c r="Q9" s="82"/>
      <c r="R9" s="31"/>
    </row>
    <row r="10" spans="1:18" x14ac:dyDescent="0.25">
      <c r="A10" s="65"/>
      <c r="B10" s="65"/>
      <c r="C10" s="65" t="s">
        <v>61</v>
      </c>
      <c r="D10" s="27" t="s">
        <v>15</v>
      </c>
      <c r="E10" s="77">
        <v>4.9500000000000002E-2</v>
      </c>
      <c r="F10" s="78" t="s">
        <v>62</v>
      </c>
      <c r="G10" s="79">
        <v>1052.6711720760388</v>
      </c>
      <c r="H10" s="80">
        <v>2031</v>
      </c>
      <c r="I10" s="79">
        <v>17.069088312100121</v>
      </c>
      <c r="J10" s="79">
        <v>-3.1445120103571433</v>
      </c>
      <c r="K10" s="79">
        <v>-3.4303767385714292</v>
      </c>
      <c r="L10" s="79">
        <v>-3.4303767385714292</v>
      </c>
      <c r="M10" s="79">
        <v>-3.4303767385714292</v>
      </c>
      <c r="N10" s="79">
        <v>1049.0377259900101</v>
      </c>
      <c r="O10" s="81"/>
      <c r="P10" s="73"/>
      <c r="Q10" s="82"/>
    </row>
    <row r="11" spans="1:18" outlineLevel="1" x14ac:dyDescent="0.25">
      <c r="A11" s="65"/>
      <c r="B11" s="65"/>
      <c r="C11" s="65" t="s">
        <v>63</v>
      </c>
      <c r="D11" s="27" t="s">
        <v>64</v>
      </c>
      <c r="E11" s="77">
        <v>9.1000000000000004E-3</v>
      </c>
      <c r="F11" s="78" t="s">
        <v>65</v>
      </c>
      <c r="G11" s="79">
        <v>547.55575270161353</v>
      </c>
      <c r="H11" s="80">
        <v>2026</v>
      </c>
      <c r="I11" s="79">
        <v>547.55575270161353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81"/>
      <c r="P11" s="73"/>
      <c r="Q11" s="65"/>
    </row>
    <row r="12" spans="1:18" outlineLevel="1" x14ac:dyDescent="0.25">
      <c r="A12" s="65"/>
      <c r="B12" s="65"/>
      <c r="C12" s="65" t="s">
        <v>18</v>
      </c>
      <c r="D12" s="27" t="s">
        <v>15</v>
      </c>
      <c r="E12" s="77">
        <v>4.5578919268323685E-2</v>
      </c>
      <c r="F12" s="78" t="s">
        <v>66</v>
      </c>
      <c r="G12" s="79">
        <v>1027.2960075549154</v>
      </c>
      <c r="H12" s="80" t="s">
        <v>20</v>
      </c>
      <c r="I12" s="79">
        <v>1027.2960075549154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81"/>
      <c r="P12" s="73"/>
      <c r="Q12" s="65"/>
    </row>
    <row r="13" spans="1:18" outlineLevel="1" x14ac:dyDescent="0.25">
      <c r="A13" s="65"/>
      <c r="B13" s="65"/>
      <c r="C13" s="65" t="s">
        <v>21</v>
      </c>
      <c r="D13" s="27" t="s">
        <v>15</v>
      </c>
      <c r="E13" s="77">
        <v>5.3199999999999997E-2</v>
      </c>
      <c r="F13" s="78" t="s">
        <v>22</v>
      </c>
      <c r="G13" s="79">
        <v>329.68830954999999</v>
      </c>
      <c r="H13" s="80">
        <v>2026</v>
      </c>
      <c r="I13" s="79">
        <v>329.68830954999999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81"/>
      <c r="P13" s="73"/>
      <c r="Q13" s="65"/>
    </row>
    <row r="14" spans="1:18" outlineLevel="1" x14ac:dyDescent="0.25">
      <c r="A14" s="65"/>
      <c r="B14" s="65"/>
      <c r="C14" s="65" t="s">
        <v>21</v>
      </c>
      <c r="D14" s="27" t="s">
        <v>67</v>
      </c>
      <c r="E14" s="77">
        <v>3.0300000000000001E-2</v>
      </c>
      <c r="F14" s="78" t="s">
        <v>68</v>
      </c>
      <c r="G14" s="79">
        <v>502.63036830000004</v>
      </c>
      <c r="H14" s="80">
        <v>2027</v>
      </c>
      <c r="I14" s="79">
        <v>2.1535105400000703</v>
      </c>
      <c r="J14" s="79">
        <v>500.47685775999997</v>
      </c>
      <c r="K14" s="79">
        <v>0</v>
      </c>
      <c r="L14" s="79">
        <v>0</v>
      </c>
      <c r="M14" s="79">
        <v>0</v>
      </c>
      <c r="N14" s="79">
        <v>0</v>
      </c>
      <c r="O14" s="81"/>
      <c r="P14" s="73"/>
      <c r="Q14" s="65"/>
    </row>
    <row r="15" spans="1:18" s="16" customFormat="1" x14ac:dyDescent="0.25">
      <c r="A15" s="65"/>
      <c r="B15" s="66"/>
      <c r="C15" s="65" t="s">
        <v>69</v>
      </c>
      <c r="D15" s="27" t="s">
        <v>15</v>
      </c>
      <c r="E15" s="77">
        <v>2.5000000000000001E-2</v>
      </c>
      <c r="F15" s="78" t="s">
        <v>33</v>
      </c>
      <c r="G15" s="79">
        <v>429.35588851874519</v>
      </c>
      <c r="H15" s="80" t="s">
        <v>70</v>
      </c>
      <c r="I15" s="79">
        <v>63.902725438745222</v>
      </c>
      <c r="J15" s="79">
        <v>52.132382458752964</v>
      </c>
      <c r="K15" s="79">
        <v>56.871689955003241</v>
      </c>
      <c r="L15" s="79">
        <v>56.871689955003241</v>
      </c>
      <c r="M15" s="79">
        <v>56.871689955003241</v>
      </c>
      <c r="N15" s="79">
        <v>142.70571075623724</v>
      </c>
      <c r="O15" s="81"/>
      <c r="P15" s="73"/>
      <c r="Q15" s="66"/>
      <c r="R15" s="7"/>
    </row>
    <row r="16" spans="1:18" s="16" customFormat="1" ht="5.0999999999999996" customHeight="1" thickBot="1" x14ac:dyDescent="0.3">
      <c r="A16" s="65"/>
      <c r="B16" s="66"/>
      <c r="C16" s="67"/>
      <c r="D16" s="66"/>
      <c r="E16" s="68"/>
      <c r="F16" s="68"/>
      <c r="G16" s="83"/>
      <c r="H16" s="70"/>
      <c r="I16" s="83"/>
      <c r="J16" s="83"/>
      <c r="K16" s="83"/>
      <c r="L16" s="83"/>
      <c r="M16" s="83"/>
      <c r="N16" s="83"/>
      <c r="O16" s="72"/>
      <c r="P16" s="73"/>
      <c r="Q16" s="66"/>
      <c r="R16" s="7"/>
    </row>
    <row r="17" spans="1:18" s="45" customFormat="1" ht="14.25" thickBot="1" x14ac:dyDescent="0.3">
      <c r="A17" s="84"/>
      <c r="B17" s="85" t="s">
        <v>25</v>
      </c>
      <c r="C17" s="86"/>
      <c r="D17" s="86"/>
      <c r="E17" s="87"/>
      <c r="F17" s="87"/>
      <c r="G17" s="88">
        <v>8041.7247712113121</v>
      </c>
      <c r="H17" s="89"/>
      <c r="I17" s="88">
        <v>2021.9804295373747</v>
      </c>
      <c r="J17" s="88">
        <v>2905.319478864737</v>
      </c>
      <c r="K17" s="88">
        <v>51.418759658261116</v>
      </c>
      <c r="L17" s="88">
        <v>51.418759658261116</v>
      </c>
      <c r="M17" s="88">
        <v>1819.8439067464324</v>
      </c>
      <c r="N17" s="90">
        <v>1191.7434367462474</v>
      </c>
      <c r="O17" s="91"/>
      <c r="P17" s="92"/>
      <c r="Q17" s="93"/>
      <c r="R17" s="35"/>
    </row>
    <row r="18" spans="1:18" s="16" customFormat="1" ht="7.5" customHeight="1" x14ac:dyDescent="0.25">
      <c r="A18" s="65"/>
      <c r="B18" s="66"/>
      <c r="C18" s="67"/>
      <c r="D18" s="66"/>
      <c r="E18" s="68"/>
      <c r="F18" s="68"/>
      <c r="G18" s="83"/>
      <c r="H18" s="70"/>
      <c r="I18" s="83"/>
      <c r="J18" s="83"/>
      <c r="K18" s="83"/>
      <c r="L18" s="83"/>
      <c r="M18" s="83"/>
      <c r="N18" s="83"/>
      <c r="O18" s="72"/>
      <c r="P18" s="73"/>
      <c r="Q18" s="66"/>
      <c r="R18" s="7"/>
    </row>
    <row r="19" spans="1:18" x14ac:dyDescent="0.25">
      <c r="A19" s="65"/>
      <c r="B19" s="67" t="s">
        <v>26</v>
      </c>
      <c r="C19" s="65"/>
      <c r="D19" s="65"/>
      <c r="E19" s="94"/>
      <c r="F19" s="94"/>
      <c r="G19" s="79"/>
      <c r="H19" s="65"/>
      <c r="I19" s="79"/>
      <c r="J19" s="79"/>
      <c r="K19" s="79"/>
      <c r="L19" s="79"/>
      <c r="M19" s="79"/>
      <c r="N19" s="79"/>
      <c r="O19" s="95"/>
      <c r="P19" s="73"/>
      <c r="Q19" s="65"/>
    </row>
    <row r="20" spans="1:18" s="16" customFormat="1" ht="4.5" customHeight="1" x14ac:dyDescent="0.25">
      <c r="A20" s="65"/>
      <c r="B20" s="66"/>
      <c r="C20" s="67"/>
      <c r="D20" s="66"/>
      <c r="E20" s="68"/>
      <c r="F20" s="68"/>
      <c r="G20" s="83"/>
      <c r="H20" s="70"/>
      <c r="I20" s="83"/>
      <c r="J20" s="83"/>
      <c r="K20" s="83"/>
      <c r="L20" s="83"/>
      <c r="M20" s="83"/>
      <c r="N20" s="83"/>
      <c r="O20" s="72"/>
      <c r="P20" s="73"/>
      <c r="Q20" s="66"/>
      <c r="R20" s="7"/>
    </row>
    <row r="21" spans="1:18" x14ac:dyDescent="0.25">
      <c r="A21" s="65"/>
      <c r="B21" s="65"/>
      <c r="C21" s="65"/>
      <c r="D21" s="27"/>
      <c r="E21" s="78"/>
      <c r="F21" s="27"/>
      <c r="G21" s="79"/>
      <c r="H21" s="80"/>
      <c r="I21" s="79"/>
      <c r="J21" s="79"/>
      <c r="K21" s="79"/>
      <c r="L21" s="79"/>
      <c r="M21" s="79"/>
      <c r="N21" s="79"/>
      <c r="O21" s="72"/>
      <c r="P21" s="73"/>
      <c r="Q21" s="82"/>
      <c r="R21" s="31"/>
    </row>
    <row r="22" spans="1:18" x14ac:dyDescent="0.25">
      <c r="A22" s="65"/>
      <c r="B22" s="65"/>
      <c r="C22" s="65" t="s">
        <v>27</v>
      </c>
      <c r="D22" s="27" t="s">
        <v>28</v>
      </c>
      <c r="E22" s="77">
        <v>5.2990718388697802E-2</v>
      </c>
      <c r="F22" s="27" t="s">
        <v>29</v>
      </c>
      <c r="G22" s="79">
        <v>2603</v>
      </c>
      <c r="H22" s="80" t="s">
        <v>30</v>
      </c>
      <c r="I22" s="79">
        <v>352</v>
      </c>
      <c r="J22" s="79">
        <v>-8</v>
      </c>
      <c r="K22" s="79">
        <v>-8</v>
      </c>
      <c r="L22" s="79">
        <v>1154</v>
      </c>
      <c r="M22" s="79">
        <v>-3</v>
      </c>
      <c r="N22" s="79">
        <v>1116</v>
      </c>
      <c r="O22" s="72"/>
      <c r="P22" s="73"/>
      <c r="Q22" s="82"/>
      <c r="R22" s="31"/>
    </row>
    <row r="23" spans="1:18" x14ac:dyDescent="0.25">
      <c r="A23" s="65"/>
      <c r="B23" s="65"/>
      <c r="C23" s="65" t="s">
        <v>31</v>
      </c>
      <c r="D23" s="27" t="s">
        <v>32</v>
      </c>
      <c r="E23" s="77">
        <v>1.0346604899446155</v>
      </c>
      <c r="F23" s="27" t="s">
        <v>33</v>
      </c>
      <c r="G23" s="79">
        <v>774</v>
      </c>
      <c r="H23" s="80">
        <v>2027</v>
      </c>
      <c r="I23" s="79">
        <v>414</v>
      </c>
      <c r="J23" s="79">
        <v>360</v>
      </c>
      <c r="K23" s="79">
        <v>0</v>
      </c>
      <c r="L23" s="79">
        <v>0</v>
      </c>
      <c r="M23" s="79">
        <v>0</v>
      </c>
      <c r="N23" s="79">
        <v>0</v>
      </c>
      <c r="O23" s="72"/>
      <c r="P23" s="73"/>
      <c r="Q23" s="82"/>
      <c r="R23" s="31"/>
    </row>
    <row r="24" spans="1:18" x14ac:dyDescent="0.25">
      <c r="A24" s="65"/>
      <c r="B24" s="65"/>
      <c r="C24" s="65" t="s">
        <v>34</v>
      </c>
      <c r="D24" s="27" t="s">
        <v>35</v>
      </c>
      <c r="E24" s="77">
        <v>7.3749999999999996E-3</v>
      </c>
      <c r="F24" s="27" t="s">
        <v>33</v>
      </c>
      <c r="G24" s="79">
        <v>2500</v>
      </c>
      <c r="H24" s="80" t="s">
        <v>71</v>
      </c>
      <c r="I24" s="79">
        <v>77</v>
      </c>
      <c r="J24" s="79">
        <v>195</v>
      </c>
      <c r="K24" s="79">
        <v>616</v>
      </c>
      <c r="L24" s="79">
        <v>434</v>
      </c>
      <c r="M24" s="79">
        <v>278</v>
      </c>
      <c r="N24" s="79">
        <v>901</v>
      </c>
      <c r="O24" s="72"/>
      <c r="P24" s="73"/>
      <c r="Q24" s="82"/>
      <c r="R24" s="31"/>
    </row>
    <row r="25" spans="1:18" x14ac:dyDescent="0.25">
      <c r="A25" s="65"/>
      <c r="B25" s="65"/>
      <c r="C25" s="65" t="s">
        <v>37</v>
      </c>
      <c r="D25" s="27" t="s">
        <v>28</v>
      </c>
      <c r="E25" s="77">
        <v>4.9517309204470498E-2</v>
      </c>
      <c r="F25" s="27" t="s">
        <v>72</v>
      </c>
      <c r="G25" s="79">
        <v>1033</v>
      </c>
      <c r="H25" s="80" t="s">
        <v>73</v>
      </c>
      <c r="I25" s="79">
        <v>89</v>
      </c>
      <c r="J25" s="79">
        <v>-3</v>
      </c>
      <c r="K25" s="79">
        <v>568</v>
      </c>
      <c r="L25" s="79">
        <v>279</v>
      </c>
      <c r="M25" s="79">
        <v>33</v>
      </c>
      <c r="N25" s="79">
        <v>66</v>
      </c>
      <c r="O25" s="72"/>
      <c r="P25" s="73"/>
      <c r="Q25" s="82"/>
      <c r="R25" s="31"/>
    </row>
    <row r="26" spans="1:18" x14ac:dyDescent="0.25">
      <c r="A26" s="65"/>
      <c r="B26" s="65"/>
      <c r="C26" s="65" t="s">
        <v>39</v>
      </c>
      <c r="D26" s="27" t="s">
        <v>40</v>
      </c>
      <c r="E26" s="77">
        <v>0.11169999999999999</v>
      </c>
      <c r="F26" s="27" t="s">
        <v>41</v>
      </c>
      <c r="G26" s="79">
        <v>504</v>
      </c>
      <c r="H26" s="80">
        <v>2027</v>
      </c>
      <c r="I26" s="79">
        <v>2</v>
      </c>
      <c r="J26" s="79">
        <v>310</v>
      </c>
      <c r="K26" s="79">
        <v>192</v>
      </c>
      <c r="L26" s="79">
        <v>0</v>
      </c>
      <c r="M26" s="79">
        <v>0</v>
      </c>
      <c r="N26" s="79">
        <v>0</v>
      </c>
      <c r="O26" s="72"/>
      <c r="P26" s="73"/>
      <c r="Q26" s="82"/>
      <c r="R26" s="31"/>
    </row>
    <row r="27" spans="1:18" x14ac:dyDescent="0.25">
      <c r="A27" s="65"/>
      <c r="B27" s="65"/>
      <c r="C27" s="65" t="s">
        <v>42</v>
      </c>
      <c r="D27" s="27" t="s">
        <v>35</v>
      </c>
      <c r="E27" s="77">
        <v>9.1999999999999998E-3</v>
      </c>
      <c r="F27" s="27" t="s">
        <v>33</v>
      </c>
      <c r="G27" s="79">
        <v>507</v>
      </c>
      <c r="H27" s="80">
        <v>2027</v>
      </c>
      <c r="I27" s="79">
        <v>7</v>
      </c>
      <c r="J27" s="79">
        <v>500</v>
      </c>
      <c r="K27" s="79">
        <v>0</v>
      </c>
      <c r="L27" s="79">
        <v>0</v>
      </c>
      <c r="M27" s="79">
        <v>0</v>
      </c>
      <c r="N27" s="79">
        <v>0</v>
      </c>
      <c r="O27" s="72"/>
      <c r="P27" s="73"/>
      <c r="Q27" s="82"/>
      <c r="R27" s="31"/>
    </row>
    <row r="28" spans="1:18" x14ac:dyDescent="0.25">
      <c r="A28" s="65"/>
      <c r="B28" s="65"/>
      <c r="C28" s="65" t="s">
        <v>43</v>
      </c>
      <c r="D28" s="27" t="s">
        <v>35</v>
      </c>
      <c r="E28" s="77">
        <v>7.0000000000000001E-3</v>
      </c>
      <c r="F28" s="27" t="s">
        <v>33</v>
      </c>
      <c r="G28" s="79">
        <v>493</v>
      </c>
      <c r="H28" s="80">
        <v>2027</v>
      </c>
      <c r="I28" s="79">
        <v>4</v>
      </c>
      <c r="J28" s="79">
        <v>289</v>
      </c>
      <c r="K28" s="79">
        <v>200</v>
      </c>
      <c r="L28" s="79">
        <v>0</v>
      </c>
      <c r="M28" s="79">
        <v>0</v>
      </c>
      <c r="N28" s="79">
        <v>0</v>
      </c>
      <c r="O28" s="72"/>
      <c r="P28" s="73"/>
      <c r="Q28" s="82"/>
      <c r="R28" s="31"/>
    </row>
    <row r="29" spans="1:18" x14ac:dyDescent="0.25">
      <c r="A29" s="65"/>
      <c r="B29" s="65"/>
      <c r="C29" s="65" t="s">
        <v>44</v>
      </c>
      <c r="D29" s="27" t="s">
        <v>32</v>
      </c>
      <c r="E29" s="77">
        <v>1.0900000000000001</v>
      </c>
      <c r="F29" s="27" t="s">
        <v>33</v>
      </c>
      <c r="G29" s="79">
        <v>206</v>
      </c>
      <c r="H29" s="80" t="s">
        <v>45</v>
      </c>
      <c r="I29" s="79">
        <v>106</v>
      </c>
      <c r="J29" s="79">
        <v>100</v>
      </c>
      <c r="K29" s="79">
        <v>0</v>
      </c>
      <c r="L29" s="79">
        <v>0</v>
      </c>
      <c r="M29" s="79">
        <v>0</v>
      </c>
      <c r="N29" s="79">
        <v>0</v>
      </c>
      <c r="O29" s="72"/>
      <c r="P29" s="73"/>
      <c r="Q29" s="82"/>
      <c r="R29" s="31"/>
    </row>
    <row r="30" spans="1:18" x14ac:dyDescent="0.25">
      <c r="A30" s="65"/>
      <c r="B30" s="65"/>
      <c r="C30" s="65" t="s">
        <v>37</v>
      </c>
      <c r="D30" s="27" t="s">
        <v>28</v>
      </c>
      <c r="E30" s="77">
        <v>6.2796853999999902E-2</v>
      </c>
      <c r="F30" s="27" t="s">
        <v>33</v>
      </c>
      <c r="G30" s="79">
        <v>83</v>
      </c>
      <c r="H30" s="80" t="s">
        <v>47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  <c r="N30" s="79">
        <v>83</v>
      </c>
      <c r="O30" s="72"/>
      <c r="P30" s="73"/>
      <c r="Q30" s="82"/>
      <c r="R30" s="31"/>
    </row>
    <row r="31" spans="1:18" x14ac:dyDescent="0.25">
      <c r="A31" s="65"/>
      <c r="B31" s="65"/>
      <c r="C31" s="65" t="s">
        <v>48</v>
      </c>
      <c r="D31" s="27" t="s">
        <v>49</v>
      </c>
      <c r="E31" s="77">
        <v>0.01</v>
      </c>
      <c r="F31" s="27" t="s">
        <v>33</v>
      </c>
      <c r="G31" s="79">
        <v>34</v>
      </c>
      <c r="H31" s="80" t="s">
        <v>30</v>
      </c>
      <c r="I31" s="79">
        <v>1</v>
      </c>
      <c r="J31" s="79">
        <v>5</v>
      </c>
      <c r="K31" s="79">
        <v>6</v>
      </c>
      <c r="L31" s="79">
        <v>6</v>
      </c>
      <c r="M31" s="79">
        <v>6</v>
      </c>
      <c r="N31" s="79">
        <v>11</v>
      </c>
      <c r="O31" s="72"/>
      <c r="P31" s="73"/>
      <c r="Q31" s="82"/>
      <c r="R31" s="31"/>
    </row>
    <row r="32" spans="1:18" x14ac:dyDescent="0.25">
      <c r="A32" s="65"/>
      <c r="B32" s="65"/>
      <c r="C32" s="65" t="s">
        <v>74</v>
      </c>
      <c r="D32" s="27" t="s">
        <v>28</v>
      </c>
      <c r="E32" s="77">
        <v>2.9337999999999999E-2</v>
      </c>
      <c r="F32" s="27" t="s">
        <v>51</v>
      </c>
      <c r="G32" s="79">
        <v>195</v>
      </c>
      <c r="H32" s="80" t="s">
        <v>52</v>
      </c>
      <c r="I32" s="79">
        <v>2</v>
      </c>
      <c r="J32" s="79">
        <v>0</v>
      </c>
      <c r="K32" s="79">
        <v>0</v>
      </c>
      <c r="L32" s="79">
        <v>-2</v>
      </c>
      <c r="M32" s="79">
        <v>0</v>
      </c>
      <c r="N32" s="79">
        <v>195</v>
      </c>
      <c r="O32" s="72"/>
      <c r="P32" s="73"/>
      <c r="Q32" s="82"/>
      <c r="R32" s="31"/>
    </row>
    <row r="33" spans="1:20" x14ac:dyDescent="0.25">
      <c r="A33" s="65"/>
      <c r="B33" s="65"/>
      <c r="C33" s="65" t="s">
        <v>75</v>
      </c>
      <c r="D33" s="27" t="s">
        <v>28</v>
      </c>
      <c r="E33" s="77">
        <v>3.1460000000000002E-2</v>
      </c>
      <c r="F33" s="27" t="s">
        <v>33</v>
      </c>
      <c r="G33" s="79">
        <v>105</v>
      </c>
      <c r="H33" s="80" t="s">
        <v>76</v>
      </c>
      <c r="I33" s="79">
        <v>0</v>
      </c>
      <c r="J33" s="79">
        <v>0</v>
      </c>
      <c r="K33" s="79">
        <v>0</v>
      </c>
      <c r="L33" s="79">
        <v>0</v>
      </c>
      <c r="M33" s="79">
        <v>0</v>
      </c>
      <c r="N33" s="79">
        <v>106</v>
      </c>
      <c r="O33" s="72"/>
      <c r="P33" s="73"/>
      <c r="Q33" s="82"/>
      <c r="R33" s="31"/>
    </row>
    <row r="34" spans="1:20" x14ac:dyDescent="0.25">
      <c r="A34" s="65"/>
      <c r="B34" s="65"/>
      <c r="C34" s="65" t="s">
        <v>69</v>
      </c>
      <c r="D34" s="27" t="s">
        <v>40</v>
      </c>
      <c r="E34" s="77">
        <v>9.4000000000000014E-2</v>
      </c>
      <c r="F34" s="96" t="s">
        <v>33</v>
      </c>
      <c r="G34" s="79">
        <v>23</v>
      </c>
      <c r="H34" s="80" t="s">
        <v>77</v>
      </c>
      <c r="I34" s="79">
        <v>1</v>
      </c>
      <c r="J34" s="79">
        <v>0</v>
      </c>
      <c r="K34" s="79">
        <v>0</v>
      </c>
      <c r="L34" s="79">
        <v>0</v>
      </c>
      <c r="M34" s="79">
        <v>0</v>
      </c>
      <c r="N34" s="79">
        <v>22</v>
      </c>
      <c r="O34" s="72"/>
      <c r="P34" s="73"/>
      <c r="Q34" s="82"/>
      <c r="R34" s="31"/>
    </row>
    <row r="35" spans="1:20" x14ac:dyDescent="0.25">
      <c r="A35" s="65"/>
      <c r="B35" s="65"/>
      <c r="C35" s="65" t="s">
        <v>78</v>
      </c>
      <c r="D35" s="27" t="s">
        <v>40</v>
      </c>
      <c r="E35" s="77">
        <v>0.14580000000000001</v>
      </c>
      <c r="F35" s="77" t="s">
        <v>79</v>
      </c>
      <c r="G35" s="79">
        <v>516</v>
      </c>
      <c r="H35" s="80">
        <v>2027</v>
      </c>
      <c r="I35" s="79">
        <v>16</v>
      </c>
      <c r="J35" s="79">
        <v>0</v>
      </c>
      <c r="K35" s="79">
        <v>500</v>
      </c>
      <c r="L35" s="79">
        <v>0</v>
      </c>
      <c r="M35" s="79">
        <v>0</v>
      </c>
      <c r="N35" s="79">
        <v>0</v>
      </c>
      <c r="O35" s="72"/>
      <c r="P35" s="73"/>
      <c r="Q35" s="82"/>
      <c r="R35" s="31"/>
    </row>
    <row r="36" spans="1:20" s="16" customFormat="1" ht="4.5" customHeight="1" thickBot="1" x14ac:dyDescent="0.3">
      <c r="A36" s="65"/>
      <c r="B36" s="66"/>
      <c r="C36" s="67"/>
      <c r="D36" s="66"/>
      <c r="E36" s="68"/>
      <c r="F36" s="68"/>
      <c r="G36" s="83"/>
      <c r="H36" s="70"/>
      <c r="I36" s="83"/>
      <c r="J36" s="83"/>
      <c r="K36" s="83"/>
      <c r="L36" s="83"/>
      <c r="M36" s="83"/>
      <c r="N36" s="83"/>
      <c r="O36" s="72"/>
      <c r="P36" s="73"/>
      <c r="Q36" s="66"/>
      <c r="R36" s="7"/>
    </row>
    <row r="37" spans="1:20" s="45" customFormat="1" ht="14.25" thickBot="1" x14ac:dyDescent="0.3">
      <c r="A37" s="84"/>
      <c r="B37" s="85" t="s">
        <v>53</v>
      </c>
      <c r="C37" s="86"/>
      <c r="D37" s="86"/>
      <c r="E37" s="87"/>
      <c r="F37" s="87"/>
      <c r="G37" s="88">
        <f>SUM(G22:G35)</f>
        <v>9576</v>
      </c>
      <c r="H37" s="89"/>
      <c r="I37" s="97">
        <v>1072.809840268565</v>
      </c>
      <c r="J37" s="97">
        <v>1748.2938974944393</v>
      </c>
      <c r="K37" s="97">
        <v>2073.270391693758</v>
      </c>
      <c r="L37" s="97">
        <v>1870.2863127947589</v>
      </c>
      <c r="M37" s="97">
        <v>312.52729587678738</v>
      </c>
      <c r="N37" s="98">
        <v>2499.3402327756903</v>
      </c>
      <c r="O37" s="91"/>
      <c r="P37" s="92"/>
      <c r="Q37" s="93"/>
      <c r="R37" s="35"/>
    </row>
    <row r="38" spans="1:20" s="16" customFormat="1" ht="4.5" customHeight="1" x14ac:dyDescent="0.25">
      <c r="A38" s="65"/>
      <c r="B38" s="66"/>
      <c r="C38" s="67"/>
      <c r="D38" s="66"/>
      <c r="E38" s="68"/>
      <c r="F38" s="68"/>
      <c r="G38" s="83"/>
      <c r="H38" s="70"/>
      <c r="I38" s="83"/>
      <c r="J38" s="83"/>
      <c r="K38" s="83"/>
      <c r="L38" s="83"/>
      <c r="M38" s="83"/>
      <c r="N38" s="83"/>
      <c r="O38" s="72"/>
      <c r="P38" s="73"/>
      <c r="Q38" s="66"/>
      <c r="R38" s="7"/>
    </row>
    <row r="39" spans="1:20" s="16" customFormat="1" x14ac:dyDescent="0.25">
      <c r="A39" s="66"/>
      <c r="B39" s="66"/>
      <c r="C39" s="65" t="s">
        <v>54</v>
      </c>
      <c r="D39" s="66"/>
      <c r="E39" s="70"/>
      <c r="F39" s="70"/>
      <c r="G39" s="79">
        <v>420</v>
      </c>
      <c r="H39" s="66"/>
      <c r="I39" s="79">
        <v>125.28946573999991</v>
      </c>
      <c r="J39" s="79">
        <v>20.164366280000031</v>
      </c>
      <c r="K39" s="79">
        <v>10.717370609999984</v>
      </c>
      <c r="L39" s="79">
        <v>242.40878443</v>
      </c>
      <c r="M39" s="79">
        <v>0</v>
      </c>
      <c r="N39" s="79">
        <v>21.260012939999999</v>
      </c>
      <c r="O39" s="95"/>
      <c r="P39" s="99"/>
      <c r="Q39" s="66"/>
      <c r="R39" s="7"/>
      <c r="S39" s="7"/>
      <c r="T39" s="7"/>
    </row>
    <row r="40" spans="1:20" s="16" customFormat="1" ht="4.5" customHeight="1" thickBot="1" x14ac:dyDescent="0.3">
      <c r="A40" s="65"/>
      <c r="B40" s="66"/>
      <c r="C40" s="67"/>
      <c r="D40" s="66"/>
      <c r="E40" s="68"/>
      <c r="F40" s="68"/>
      <c r="G40" s="83"/>
      <c r="H40" s="70"/>
      <c r="I40" s="83"/>
      <c r="J40" s="83"/>
      <c r="K40" s="83"/>
      <c r="L40" s="83"/>
      <c r="M40" s="83"/>
      <c r="N40" s="83"/>
      <c r="O40" s="72"/>
      <c r="P40" s="73"/>
      <c r="Q40" s="66"/>
      <c r="R40" s="7"/>
    </row>
    <row r="41" spans="1:20" s="45" customFormat="1" ht="14.25" thickBot="1" x14ac:dyDescent="0.3">
      <c r="A41" s="84"/>
      <c r="B41" s="85" t="s">
        <v>55</v>
      </c>
      <c r="C41" s="86"/>
      <c r="D41" s="86"/>
      <c r="E41" s="87"/>
      <c r="F41" s="87"/>
      <c r="G41" s="100">
        <f>G39+G37+G17</f>
        <v>18037.724771211313</v>
      </c>
      <c r="H41" s="89"/>
      <c r="I41" s="88">
        <f t="shared" ref="I41:N41" si="0">I39+I37+I17</f>
        <v>3220.0797355459399</v>
      </c>
      <c r="J41" s="88">
        <f t="shared" si="0"/>
        <v>4673.7777426391767</v>
      </c>
      <c r="K41" s="88">
        <f t="shared" si="0"/>
        <v>2135.4065219620188</v>
      </c>
      <c r="L41" s="88">
        <f t="shared" si="0"/>
        <v>2164.1138568830202</v>
      </c>
      <c r="M41" s="88">
        <f t="shared" si="0"/>
        <v>2132.3712026232197</v>
      </c>
      <c r="N41" s="90">
        <f t="shared" si="0"/>
        <v>3712.3436824619375</v>
      </c>
      <c r="O41" s="91"/>
      <c r="P41" s="92"/>
      <c r="Q41" s="93"/>
      <c r="R41" s="35"/>
    </row>
    <row r="42" spans="1:20" s="16" customFormat="1" ht="6" customHeight="1" x14ac:dyDescent="0.25">
      <c r="A42" s="66"/>
      <c r="B42" s="67"/>
      <c r="C42" s="66"/>
      <c r="D42" s="66"/>
      <c r="E42" s="70"/>
      <c r="F42" s="70"/>
      <c r="G42" s="83"/>
      <c r="H42" s="66"/>
      <c r="I42" s="83"/>
      <c r="J42" s="83"/>
      <c r="K42" s="83"/>
      <c r="L42" s="83"/>
      <c r="M42" s="83"/>
      <c r="N42" s="83"/>
      <c r="O42" s="95"/>
      <c r="P42" s="99"/>
      <c r="Q42" s="66"/>
      <c r="R42" s="7"/>
      <c r="S42" s="7"/>
      <c r="T42" s="7"/>
    </row>
    <row r="43" spans="1:20" s="56" customFormat="1" x14ac:dyDescent="0.25">
      <c r="A43" s="101"/>
      <c r="B43" s="101"/>
      <c r="C43" s="102" t="s">
        <v>56</v>
      </c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3"/>
      <c r="P43" s="101"/>
      <c r="Q43" s="101"/>
    </row>
    <row r="44" spans="1:20" s="56" customFormat="1" ht="14.25" customHeight="1" x14ac:dyDescent="0.25">
      <c r="A44" s="101"/>
      <c r="B44" s="104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5"/>
      <c r="P44" s="101"/>
      <c r="Q44" s="101"/>
    </row>
    <row r="45" spans="1:20" s="56" customFormat="1" ht="14.25" customHeight="1" x14ac:dyDescent="0.25">
      <c r="A45" s="101"/>
      <c r="B45" s="104"/>
      <c r="C45" s="106" t="s">
        <v>80</v>
      </c>
      <c r="D45" s="107"/>
      <c r="E45" s="107"/>
      <c r="F45" s="107"/>
      <c r="G45" s="108"/>
      <c r="H45" s="107"/>
      <c r="I45" s="107"/>
      <c r="J45" s="107"/>
      <c r="K45" s="107"/>
      <c r="L45" s="107"/>
      <c r="M45" s="107"/>
      <c r="N45" s="107"/>
      <c r="O45" s="105"/>
      <c r="P45" s="101"/>
      <c r="Q45" s="101"/>
    </row>
    <row r="46" spans="1:20" s="56" customFormat="1" ht="14.25" customHeight="1" x14ac:dyDescent="0.25">
      <c r="A46" s="101"/>
      <c r="B46" s="104"/>
      <c r="C46" s="106"/>
      <c r="D46" s="107"/>
      <c r="E46" s="107"/>
      <c r="F46" s="107"/>
      <c r="G46" s="108"/>
      <c r="H46" s="107"/>
      <c r="I46" s="109"/>
      <c r="J46" s="109"/>
      <c r="K46" s="109"/>
      <c r="L46" s="109"/>
      <c r="M46" s="109"/>
      <c r="N46" s="109"/>
      <c r="O46" s="105"/>
      <c r="P46" s="101"/>
      <c r="Q46" s="101"/>
    </row>
    <row r="47" spans="1:20" s="56" customFormat="1" ht="14.25" customHeight="1" x14ac:dyDescent="0.25">
      <c r="A47" s="101"/>
      <c r="B47" s="104"/>
      <c r="C47" s="110"/>
      <c r="D47" s="107"/>
      <c r="E47" s="107"/>
      <c r="F47" s="107"/>
      <c r="G47" s="108"/>
      <c r="H47" s="107"/>
      <c r="I47" s="107"/>
      <c r="J47" s="107"/>
      <c r="K47" s="107"/>
      <c r="L47" s="107"/>
      <c r="M47" s="107"/>
      <c r="N47" s="107"/>
      <c r="O47" s="105"/>
      <c r="P47" s="101"/>
      <c r="Q47" s="101"/>
    </row>
    <row r="48" spans="1:20" s="56" customFormat="1" ht="14.25" customHeight="1" x14ac:dyDescent="0.25">
      <c r="A48" s="101"/>
      <c r="B48" s="104"/>
      <c r="C48" s="106"/>
      <c r="D48" s="107"/>
      <c r="E48" s="107"/>
      <c r="F48" s="107"/>
      <c r="G48" s="108"/>
      <c r="H48" s="107"/>
      <c r="I48" s="101"/>
      <c r="J48" s="107"/>
      <c r="K48" s="107"/>
      <c r="L48" s="107"/>
      <c r="M48" s="107"/>
      <c r="N48" s="107"/>
      <c r="O48" s="105"/>
      <c r="P48" s="101"/>
      <c r="Q48" s="101"/>
    </row>
    <row r="49" spans="1:17" s="56" customFormat="1" ht="14.25" customHeight="1" x14ac:dyDescent="0.25">
      <c r="A49" s="101"/>
      <c r="B49" s="104"/>
      <c r="C49" s="106"/>
      <c r="D49" s="107"/>
      <c r="E49" s="107"/>
      <c r="F49" s="107"/>
      <c r="G49" s="108"/>
      <c r="H49" s="107"/>
      <c r="I49" s="107"/>
      <c r="J49" s="107"/>
      <c r="K49" s="107"/>
      <c r="L49" s="107"/>
      <c r="M49" s="107"/>
      <c r="N49" s="107"/>
      <c r="O49" s="105"/>
      <c r="P49" s="101"/>
      <c r="Q49" s="101"/>
    </row>
    <row r="50" spans="1:17" s="56" customFormat="1" ht="14.25" customHeight="1" x14ac:dyDescent="0.25">
      <c r="A50" s="101"/>
      <c r="B50" s="104"/>
      <c r="C50" s="106"/>
      <c r="D50" s="107"/>
      <c r="E50" s="107"/>
      <c r="F50" s="107"/>
      <c r="G50" s="108"/>
      <c r="H50" s="107"/>
      <c r="I50" s="107"/>
      <c r="J50" s="107"/>
      <c r="K50" s="107"/>
      <c r="L50" s="107"/>
      <c r="M50" s="107"/>
      <c r="N50" s="107"/>
      <c r="O50" s="105"/>
      <c r="P50" s="101"/>
      <c r="Q50" s="101"/>
    </row>
    <row r="51" spans="1:17" x14ac:dyDescent="0.25">
      <c r="A51" s="65"/>
      <c r="B51" s="65"/>
      <c r="C51" s="65"/>
      <c r="D51" s="65"/>
      <c r="E51" s="65"/>
      <c r="F51" s="65"/>
      <c r="G51" s="111"/>
      <c r="H51" s="65"/>
      <c r="I51" s="65"/>
      <c r="J51" s="65"/>
      <c r="K51" s="65"/>
      <c r="L51" s="65"/>
      <c r="M51" s="65"/>
      <c r="N51" s="65"/>
      <c r="O51" s="72"/>
      <c r="P51" s="65"/>
      <c r="Q51" s="65"/>
    </row>
    <row r="52" spans="1:17" x14ac:dyDescent="0.25">
      <c r="A52" s="65"/>
      <c r="B52" s="65"/>
      <c r="C52" s="65"/>
      <c r="D52" s="65"/>
      <c r="E52" s="65"/>
      <c r="F52" s="65"/>
      <c r="G52" s="111"/>
      <c r="H52" s="65"/>
      <c r="I52" s="65"/>
      <c r="J52" s="65"/>
      <c r="K52" s="65"/>
      <c r="L52" s="65"/>
      <c r="M52" s="65"/>
      <c r="N52" s="65"/>
      <c r="O52" s="72"/>
      <c r="P52" s="65"/>
      <c r="Q52" s="65"/>
    </row>
    <row r="53" spans="1:17" x14ac:dyDescent="0.25">
      <c r="A53" s="65"/>
      <c r="B53" s="65"/>
      <c r="C53" s="65"/>
      <c r="D53" s="65"/>
      <c r="E53" s="65"/>
      <c r="F53" s="65"/>
      <c r="G53" s="111"/>
      <c r="H53" s="65"/>
      <c r="I53" s="65"/>
      <c r="J53" s="65"/>
      <c r="K53" s="65"/>
      <c r="L53" s="65"/>
      <c r="M53" s="65"/>
      <c r="N53" s="65"/>
      <c r="O53" s="72"/>
      <c r="P53" s="65"/>
      <c r="Q53" s="65"/>
    </row>
    <row r="54" spans="1:17" x14ac:dyDescent="0.25">
      <c r="A54" s="65"/>
      <c r="B54" s="65"/>
      <c r="C54" s="65"/>
      <c r="D54" s="65"/>
      <c r="E54" s="65"/>
      <c r="F54" s="65"/>
      <c r="G54" s="111"/>
      <c r="H54" s="65"/>
      <c r="I54" s="65"/>
      <c r="J54" s="65"/>
      <c r="K54" s="65"/>
      <c r="L54" s="65"/>
      <c r="M54" s="65"/>
      <c r="N54" s="65"/>
      <c r="O54" s="72"/>
      <c r="P54" s="65"/>
      <c r="Q54" s="65"/>
    </row>
    <row r="66" spans="5:6" x14ac:dyDescent="0.25">
      <c r="E66" s="112"/>
      <c r="F66" s="112"/>
    </row>
  </sheetData>
  <mergeCells count="7">
    <mergeCell ref="C43:N44"/>
    <mergeCell ref="A4:C5"/>
    <mergeCell ref="D4:D5"/>
    <mergeCell ref="E4:E5"/>
    <mergeCell ref="F4:F5"/>
    <mergeCell ref="H4:H5"/>
    <mergeCell ref="I4:N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8EB2-EAAC-4B6C-B950-30548E2BCD8A}">
  <dimension ref="A1:T66"/>
  <sheetViews>
    <sheetView workbookViewId="0">
      <selection sqref="A1:XFD1048576"/>
    </sheetView>
  </sheetViews>
  <sheetFormatPr defaultColWidth="11.42578125" defaultRowHeight="13.5" outlineLevelRow="1" x14ac:dyDescent="0.25"/>
  <cols>
    <col min="1" max="2" width="3" style="7" customWidth="1"/>
    <col min="3" max="3" width="45.42578125" style="7" customWidth="1"/>
    <col min="4" max="4" width="21" style="7" bestFit="1" customWidth="1"/>
    <col min="5" max="6" width="21.28515625" style="7" customWidth="1"/>
    <col min="7" max="7" width="12.7109375" style="3" customWidth="1"/>
    <col min="8" max="8" width="14.7109375" style="7" bestFit="1" customWidth="1"/>
    <col min="9" max="14" width="13.42578125" style="7" customWidth="1"/>
    <col min="15" max="15" width="14" style="63" customWidth="1"/>
    <col min="16" max="16" width="13.5703125" style="7" bestFit="1" customWidth="1"/>
    <col min="17" max="17" width="15.28515625" style="7" bestFit="1" customWidth="1"/>
    <col min="18" max="18" width="12.85546875" style="7" bestFit="1" customWidth="1"/>
    <col min="19" max="256" width="11.42578125" style="7"/>
    <col min="257" max="258" width="3" style="7" customWidth="1"/>
    <col min="259" max="259" width="45.42578125" style="7" customWidth="1"/>
    <col min="260" max="260" width="21" style="7" bestFit="1" customWidth="1"/>
    <col min="261" max="262" width="21.28515625" style="7" customWidth="1"/>
    <col min="263" max="263" width="12.7109375" style="7" customWidth="1"/>
    <col min="264" max="264" width="14.7109375" style="7" bestFit="1" customWidth="1"/>
    <col min="265" max="270" width="13.42578125" style="7" customWidth="1"/>
    <col min="271" max="271" width="14" style="7" customWidth="1"/>
    <col min="272" max="272" width="13.5703125" style="7" bestFit="1" customWidth="1"/>
    <col min="273" max="273" width="15.28515625" style="7" bestFit="1" customWidth="1"/>
    <col min="274" max="274" width="12.85546875" style="7" bestFit="1" customWidth="1"/>
    <col min="275" max="512" width="11.42578125" style="7"/>
    <col min="513" max="514" width="3" style="7" customWidth="1"/>
    <col min="515" max="515" width="45.42578125" style="7" customWidth="1"/>
    <col min="516" max="516" width="21" style="7" bestFit="1" customWidth="1"/>
    <col min="517" max="518" width="21.28515625" style="7" customWidth="1"/>
    <col min="519" max="519" width="12.7109375" style="7" customWidth="1"/>
    <col min="520" max="520" width="14.7109375" style="7" bestFit="1" customWidth="1"/>
    <col min="521" max="526" width="13.42578125" style="7" customWidth="1"/>
    <col min="527" max="527" width="14" style="7" customWidth="1"/>
    <col min="528" max="528" width="13.5703125" style="7" bestFit="1" customWidth="1"/>
    <col min="529" max="529" width="15.28515625" style="7" bestFit="1" customWidth="1"/>
    <col min="530" max="530" width="12.85546875" style="7" bestFit="1" customWidth="1"/>
    <col min="531" max="768" width="11.42578125" style="7"/>
    <col min="769" max="770" width="3" style="7" customWidth="1"/>
    <col min="771" max="771" width="45.42578125" style="7" customWidth="1"/>
    <col min="772" max="772" width="21" style="7" bestFit="1" customWidth="1"/>
    <col min="773" max="774" width="21.28515625" style="7" customWidth="1"/>
    <col min="775" max="775" width="12.7109375" style="7" customWidth="1"/>
    <col min="776" max="776" width="14.7109375" style="7" bestFit="1" customWidth="1"/>
    <col min="777" max="782" width="13.42578125" style="7" customWidth="1"/>
    <col min="783" max="783" width="14" style="7" customWidth="1"/>
    <col min="784" max="784" width="13.5703125" style="7" bestFit="1" customWidth="1"/>
    <col min="785" max="785" width="15.28515625" style="7" bestFit="1" customWidth="1"/>
    <col min="786" max="786" width="12.85546875" style="7" bestFit="1" customWidth="1"/>
    <col min="787" max="1024" width="11.42578125" style="7"/>
    <col min="1025" max="1026" width="3" style="7" customWidth="1"/>
    <col min="1027" max="1027" width="45.42578125" style="7" customWidth="1"/>
    <col min="1028" max="1028" width="21" style="7" bestFit="1" customWidth="1"/>
    <col min="1029" max="1030" width="21.28515625" style="7" customWidth="1"/>
    <col min="1031" max="1031" width="12.7109375" style="7" customWidth="1"/>
    <col min="1032" max="1032" width="14.7109375" style="7" bestFit="1" customWidth="1"/>
    <col min="1033" max="1038" width="13.42578125" style="7" customWidth="1"/>
    <col min="1039" max="1039" width="14" style="7" customWidth="1"/>
    <col min="1040" max="1040" width="13.5703125" style="7" bestFit="1" customWidth="1"/>
    <col min="1041" max="1041" width="15.28515625" style="7" bestFit="1" customWidth="1"/>
    <col min="1042" max="1042" width="12.85546875" style="7" bestFit="1" customWidth="1"/>
    <col min="1043" max="1280" width="11.42578125" style="7"/>
    <col min="1281" max="1282" width="3" style="7" customWidth="1"/>
    <col min="1283" max="1283" width="45.42578125" style="7" customWidth="1"/>
    <col min="1284" max="1284" width="21" style="7" bestFit="1" customWidth="1"/>
    <col min="1285" max="1286" width="21.28515625" style="7" customWidth="1"/>
    <col min="1287" max="1287" width="12.7109375" style="7" customWidth="1"/>
    <col min="1288" max="1288" width="14.7109375" style="7" bestFit="1" customWidth="1"/>
    <col min="1289" max="1294" width="13.42578125" style="7" customWidth="1"/>
    <col min="1295" max="1295" width="14" style="7" customWidth="1"/>
    <col min="1296" max="1296" width="13.5703125" style="7" bestFit="1" customWidth="1"/>
    <col min="1297" max="1297" width="15.28515625" style="7" bestFit="1" customWidth="1"/>
    <col min="1298" max="1298" width="12.85546875" style="7" bestFit="1" customWidth="1"/>
    <col min="1299" max="1536" width="11.42578125" style="7"/>
    <col min="1537" max="1538" width="3" style="7" customWidth="1"/>
    <col min="1539" max="1539" width="45.42578125" style="7" customWidth="1"/>
    <col min="1540" max="1540" width="21" style="7" bestFit="1" customWidth="1"/>
    <col min="1541" max="1542" width="21.28515625" style="7" customWidth="1"/>
    <col min="1543" max="1543" width="12.7109375" style="7" customWidth="1"/>
    <col min="1544" max="1544" width="14.7109375" style="7" bestFit="1" customWidth="1"/>
    <col min="1545" max="1550" width="13.42578125" style="7" customWidth="1"/>
    <col min="1551" max="1551" width="14" style="7" customWidth="1"/>
    <col min="1552" max="1552" width="13.5703125" style="7" bestFit="1" customWidth="1"/>
    <col min="1553" max="1553" width="15.28515625" style="7" bestFit="1" customWidth="1"/>
    <col min="1554" max="1554" width="12.85546875" style="7" bestFit="1" customWidth="1"/>
    <col min="1555" max="1792" width="11.42578125" style="7"/>
    <col min="1793" max="1794" width="3" style="7" customWidth="1"/>
    <col min="1795" max="1795" width="45.42578125" style="7" customWidth="1"/>
    <col min="1796" max="1796" width="21" style="7" bestFit="1" customWidth="1"/>
    <col min="1797" max="1798" width="21.28515625" style="7" customWidth="1"/>
    <col min="1799" max="1799" width="12.7109375" style="7" customWidth="1"/>
    <col min="1800" max="1800" width="14.7109375" style="7" bestFit="1" customWidth="1"/>
    <col min="1801" max="1806" width="13.42578125" style="7" customWidth="1"/>
    <col min="1807" max="1807" width="14" style="7" customWidth="1"/>
    <col min="1808" max="1808" width="13.5703125" style="7" bestFit="1" customWidth="1"/>
    <col min="1809" max="1809" width="15.28515625" style="7" bestFit="1" customWidth="1"/>
    <col min="1810" max="1810" width="12.85546875" style="7" bestFit="1" customWidth="1"/>
    <col min="1811" max="2048" width="11.42578125" style="7"/>
    <col min="2049" max="2050" width="3" style="7" customWidth="1"/>
    <col min="2051" max="2051" width="45.42578125" style="7" customWidth="1"/>
    <col min="2052" max="2052" width="21" style="7" bestFit="1" customWidth="1"/>
    <col min="2053" max="2054" width="21.28515625" style="7" customWidth="1"/>
    <col min="2055" max="2055" width="12.7109375" style="7" customWidth="1"/>
    <col min="2056" max="2056" width="14.7109375" style="7" bestFit="1" customWidth="1"/>
    <col min="2057" max="2062" width="13.42578125" style="7" customWidth="1"/>
    <col min="2063" max="2063" width="14" style="7" customWidth="1"/>
    <col min="2064" max="2064" width="13.5703125" style="7" bestFit="1" customWidth="1"/>
    <col min="2065" max="2065" width="15.28515625" style="7" bestFit="1" customWidth="1"/>
    <col min="2066" max="2066" width="12.85546875" style="7" bestFit="1" customWidth="1"/>
    <col min="2067" max="2304" width="11.42578125" style="7"/>
    <col min="2305" max="2306" width="3" style="7" customWidth="1"/>
    <col min="2307" max="2307" width="45.42578125" style="7" customWidth="1"/>
    <col min="2308" max="2308" width="21" style="7" bestFit="1" customWidth="1"/>
    <col min="2309" max="2310" width="21.28515625" style="7" customWidth="1"/>
    <col min="2311" max="2311" width="12.7109375" style="7" customWidth="1"/>
    <col min="2312" max="2312" width="14.7109375" style="7" bestFit="1" customWidth="1"/>
    <col min="2313" max="2318" width="13.42578125" style="7" customWidth="1"/>
    <col min="2319" max="2319" width="14" style="7" customWidth="1"/>
    <col min="2320" max="2320" width="13.5703125" style="7" bestFit="1" customWidth="1"/>
    <col min="2321" max="2321" width="15.28515625" style="7" bestFit="1" customWidth="1"/>
    <col min="2322" max="2322" width="12.85546875" style="7" bestFit="1" customWidth="1"/>
    <col min="2323" max="2560" width="11.42578125" style="7"/>
    <col min="2561" max="2562" width="3" style="7" customWidth="1"/>
    <col min="2563" max="2563" width="45.42578125" style="7" customWidth="1"/>
    <col min="2564" max="2564" width="21" style="7" bestFit="1" customWidth="1"/>
    <col min="2565" max="2566" width="21.28515625" style="7" customWidth="1"/>
    <col min="2567" max="2567" width="12.7109375" style="7" customWidth="1"/>
    <col min="2568" max="2568" width="14.7109375" style="7" bestFit="1" customWidth="1"/>
    <col min="2569" max="2574" width="13.42578125" style="7" customWidth="1"/>
    <col min="2575" max="2575" width="14" style="7" customWidth="1"/>
    <col min="2576" max="2576" width="13.5703125" style="7" bestFit="1" customWidth="1"/>
    <col min="2577" max="2577" width="15.28515625" style="7" bestFit="1" customWidth="1"/>
    <col min="2578" max="2578" width="12.85546875" style="7" bestFit="1" customWidth="1"/>
    <col min="2579" max="2816" width="11.42578125" style="7"/>
    <col min="2817" max="2818" width="3" style="7" customWidth="1"/>
    <col min="2819" max="2819" width="45.42578125" style="7" customWidth="1"/>
    <col min="2820" max="2820" width="21" style="7" bestFit="1" customWidth="1"/>
    <col min="2821" max="2822" width="21.28515625" style="7" customWidth="1"/>
    <col min="2823" max="2823" width="12.7109375" style="7" customWidth="1"/>
    <col min="2824" max="2824" width="14.7109375" style="7" bestFit="1" customWidth="1"/>
    <col min="2825" max="2830" width="13.42578125" style="7" customWidth="1"/>
    <col min="2831" max="2831" width="14" style="7" customWidth="1"/>
    <col min="2832" max="2832" width="13.5703125" style="7" bestFit="1" customWidth="1"/>
    <col min="2833" max="2833" width="15.28515625" style="7" bestFit="1" customWidth="1"/>
    <col min="2834" max="2834" width="12.85546875" style="7" bestFit="1" customWidth="1"/>
    <col min="2835" max="3072" width="11.42578125" style="7"/>
    <col min="3073" max="3074" width="3" style="7" customWidth="1"/>
    <col min="3075" max="3075" width="45.42578125" style="7" customWidth="1"/>
    <col min="3076" max="3076" width="21" style="7" bestFit="1" customWidth="1"/>
    <col min="3077" max="3078" width="21.28515625" style="7" customWidth="1"/>
    <col min="3079" max="3079" width="12.7109375" style="7" customWidth="1"/>
    <col min="3080" max="3080" width="14.7109375" style="7" bestFit="1" customWidth="1"/>
    <col min="3081" max="3086" width="13.42578125" style="7" customWidth="1"/>
    <col min="3087" max="3087" width="14" style="7" customWidth="1"/>
    <col min="3088" max="3088" width="13.5703125" style="7" bestFit="1" customWidth="1"/>
    <col min="3089" max="3089" width="15.28515625" style="7" bestFit="1" customWidth="1"/>
    <col min="3090" max="3090" width="12.85546875" style="7" bestFit="1" customWidth="1"/>
    <col min="3091" max="3328" width="11.42578125" style="7"/>
    <col min="3329" max="3330" width="3" style="7" customWidth="1"/>
    <col min="3331" max="3331" width="45.42578125" style="7" customWidth="1"/>
    <col min="3332" max="3332" width="21" style="7" bestFit="1" customWidth="1"/>
    <col min="3333" max="3334" width="21.28515625" style="7" customWidth="1"/>
    <col min="3335" max="3335" width="12.7109375" style="7" customWidth="1"/>
    <col min="3336" max="3336" width="14.7109375" style="7" bestFit="1" customWidth="1"/>
    <col min="3337" max="3342" width="13.42578125" style="7" customWidth="1"/>
    <col min="3343" max="3343" width="14" style="7" customWidth="1"/>
    <col min="3344" max="3344" width="13.5703125" style="7" bestFit="1" customWidth="1"/>
    <col min="3345" max="3345" width="15.28515625" style="7" bestFit="1" customWidth="1"/>
    <col min="3346" max="3346" width="12.85546875" style="7" bestFit="1" customWidth="1"/>
    <col min="3347" max="3584" width="11.42578125" style="7"/>
    <col min="3585" max="3586" width="3" style="7" customWidth="1"/>
    <col min="3587" max="3587" width="45.42578125" style="7" customWidth="1"/>
    <col min="3588" max="3588" width="21" style="7" bestFit="1" customWidth="1"/>
    <col min="3589" max="3590" width="21.28515625" style="7" customWidth="1"/>
    <col min="3591" max="3591" width="12.7109375" style="7" customWidth="1"/>
    <col min="3592" max="3592" width="14.7109375" style="7" bestFit="1" customWidth="1"/>
    <col min="3593" max="3598" width="13.42578125" style="7" customWidth="1"/>
    <col min="3599" max="3599" width="14" style="7" customWidth="1"/>
    <col min="3600" max="3600" width="13.5703125" style="7" bestFit="1" customWidth="1"/>
    <col min="3601" max="3601" width="15.28515625" style="7" bestFit="1" customWidth="1"/>
    <col min="3602" max="3602" width="12.85546875" style="7" bestFit="1" customWidth="1"/>
    <col min="3603" max="3840" width="11.42578125" style="7"/>
    <col min="3841" max="3842" width="3" style="7" customWidth="1"/>
    <col min="3843" max="3843" width="45.42578125" style="7" customWidth="1"/>
    <col min="3844" max="3844" width="21" style="7" bestFit="1" customWidth="1"/>
    <col min="3845" max="3846" width="21.28515625" style="7" customWidth="1"/>
    <col min="3847" max="3847" width="12.7109375" style="7" customWidth="1"/>
    <col min="3848" max="3848" width="14.7109375" style="7" bestFit="1" customWidth="1"/>
    <col min="3849" max="3854" width="13.42578125" style="7" customWidth="1"/>
    <col min="3855" max="3855" width="14" style="7" customWidth="1"/>
    <col min="3856" max="3856" width="13.5703125" style="7" bestFit="1" customWidth="1"/>
    <col min="3857" max="3857" width="15.28515625" style="7" bestFit="1" customWidth="1"/>
    <col min="3858" max="3858" width="12.85546875" style="7" bestFit="1" customWidth="1"/>
    <col min="3859" max="4096" width="11.42578125" style="7"/>
    <col min="4097" max="4098" width="3" style="7" customWidth="1"/>
    <col min="4099" max="4099" width="45.42578125" style="7" customWidth="1"/>
    <col min="4100" max="4100" width="21" style="7" bestFit="1" customWidth="1"/>
    <col min="4101" max="4102" width="21.28515625" style="7" customWidth="1"/>
    <col min="4103" max="4103" width="12.7109375" style="7" customWidth="1"/>
    <col min="4104" max="4104" width="14.7109375" style="7" bestFit="1" customWidth="1"/>
    <col min="4105" max="4110" width="13.42578125" style="7" customWidth="1"/>
    <col min="4111" max="4111" width="14" style="7" customWidth="1"/>
    <col min="4112" max="4112" width="13.5703125" style="7" bestFit="1" customWidth="1"/>
    <col min="4113" max="4113" width="15.28515625" style="7" bestFit="1" customWidth="1"/>
    <col min="4114" max="4114" width="12.85546875" style="7" bestFit="1" customWidth="1"/>
    <col min="4115" max="4352" width="11.42578125" style="7"/>
    <col min="4353" max="4354" width="3" style="7" customWidth="1"/>
    <col min="4355" max="4355" width="45.42578125" style="7" customWidth="1"/>
    <col min="4356" max="4356" width="21" style="7" bestFit="1" customWidth="1"/>
    <col min="4357" max="4358" width="21.28515625" style="7" customWidth="1"/>
    <col min="4359" max="4359" width="12.7109375" style="7" customWidth="1"/>
    <col min="4360" max="4360" width="14.7109375" style="7" bestFit="1" customWidth="1"/>
    <col min="4361" max="4366" width="13.42578125" style="7" customWidth="1"/>
    <col min="4367" max="4367" width="14" style="7" customWidth="1"/>
    <col min="4368" max="4368" width="13.5703125" style="7" bestFit="1" customWidth="1"/>
    <col min="4369" max="4369" width="15.28515625" style="7" bestFit="1" customWidth="1"/>
    <col min="4370" max="4370" width="12.85546875" style="7" bestFit="1" customWidth="1"/>
    <col min="4371" max="4608" width="11.42578125" style="7"/>
    <col min="4609" max="4610" width="3" style="7" customWidth="1"/>
    <col min="4611" max="4611" width="45.42578125" style="7" customWidth="1"/>
    <col min="4612" max="4612" width="21" style="7" bestFit="1" customWidth="1"/>
    <col min="4613" max="4614" width="21.28515625" style="7" customWidth="1"/>
    <col min="4615" max="4615" width="12.7109375" style="7" customWidth="1"/>
    <col min="4616" max="4616" width="14.7109375" style="7" bestFit="1" customWidth="1"/>
    <col min="4617" max="4622" width="13.42578125" style="7" customWidth="1"/>
    <col min="4623" max="4623" width="14" style="7" customWidth="1"/>
    <col min="4624" max="4624" width="13.5703125" style="7" bestFit="1" customWidth="1"/>
    <col min="4625" max="4625" width="15.28515625" style="7" bestFit="1" customWidth="1"/>
    <col min="4626" max="4626" width="12.85546875" style="7" bestFit="1" customWidth="1"/>
    <col min="4627" max="4864" width="11.42578125" style="7"/>
    <col min="4865" max="4866" width="3" style="7" customWidth="1"/>
    <col min="4867" max="4867" width="45.42578125" style="7" customWidth="1"/>
    <col min="4868" max="4868" width="21" style="7" bestFit="1" customWidth="1"/>
    <col min="4869" max="4870" width="21.28515625" style="7" customWidth="1"/>
    <col min="4871" max="4871" width="12.7109375" style="7" customWidth="1"/>
    <col min="4872" max="4872" width="14.7109375" style="7" bestFit="1" customWidth="1"/>
    <col min="4873" max="4878" width="13.42578125" style="7" customWidth="1"/>
    <col min="4879" max="4879" width="14" style="7" customWidth="1"/>
    <col min="4880" max="4880" width="13.5703125" style="7" bestFit="1" customWidth="1"/>
    <col min="4881" max="4881" width="15.28515625" style="7" bestFit="1" customWidth="1"/>
    <col min="4882" max="4882" width="12.85546875" style="7" bestFit="1" customWidth="1"/>
    <col min="4883" max="5120" width="11.42578125" style="7"/>
    <col min="5121" max="5122" width="3" style="7" customWidth="1"/>
    <col min="5123" max="5123" width="45.42578125" style="7" customWidth="1"/>
    <col min="5124" max="5124" width="21" style="7" bestFit="1" customWidth="1"/>
    <col min="5125" max="5126" width="21.28515625" style="7" customWidth="1"/>
    <col min="5127" max="5127" width="12.7109375" style="7" customWidth="1"/>
    <col min="5128" max="5128" width="14.7109375" style="7" bestFit="1" customWidth="1"/>
    <col min="5129" max="5134" width="13.42578125" style="7" customWidth="1"/>
    <col min="5135" max="5135" width="14" style="7" customWidth="1"/>
    <col min="5136" max="5136" width="13.5703125" style="7" bestFit="1" customWidth="1"/>
    <col min="5137" max="5137" width="15.28515625" style="7" bestFit="1" customWidth="1"/>
    <col min="5138" max="5138" width="12.85546875" style="7" bestFit="1" customWidth="1"/>
    <col min="5139" max="5376" width="11.42578125" style="7"/>
    <col min="5377" max="5378" width="3" style="7" customWidth="1"/>
    <col min="5379" max="5379" width="45.42578125" style="7" customWidth="1"/>
    <col min="5380" max="5380" width="21" style="7" bestFit="1" customWidth="1"/>
    <col min="5381" max="5382" width="21.28515625" style="7" customWidth="1"/>
    <col min="5383" max="5383" width="12.7109375" style="7" customWidth="1"/>
    <col min="5384" max="5384" width="14.7109375" style="7" bestFit="1" customWidth="1"/>
    <col min="5385" max="5390" width="13.42578125" style="7" customWidth="1"/>
    <col min="5391" max="5391" width="14" style="7" customWidth="1"/>
    <col min="5392" max="5392" width="13.5703125" style="7" bestFit="1" customWidth="1"/>
    <col min="5393" max="5393" width="15.28515625" style="7" bestFit="1" customWidth="1"/>
    <col min="5394" max="5394" width="12.85546875" style="7" bestFit="1" customWidth="1"/>
    <col min="5395" max="5632" width="11.42578125" style="7"/>
    <col min="5633" max="5634" width="3" style="7" customWidth="1"/>
    <col min="5635" max="5635" width="45.42578125" style="7" customWidth="1"/>
    <col min="5636" max="5636" width="21" style="7" bestFit="1" customWidth="1"/>
    <col min="5637" max="5638" width="21.28515625" style="7" customWidth="1"/>
    <col min="5639" max="5639" width="12.7109375" style="7" customWidth="1"/>
    <col min="5640" max="5640" width="14.7109375" style="7" bestFit="1" customWidth="1"/>
    <col min="5641" max="5646" width="13.42578125" style="7" customWidth="1"/>
    <col min="5647" max="5647" width="14" style="7" customWidth="1"/>
    <col min="5648" max="5648" width="13.5703125" style="7" bestFit="1" customWidth="1"/>
    <col min="5649" max="5649" width="15.28515625" style="7" bestFit="1" customWidth="1"/>
    <col min="5650" max="5650" width="12.85546875" style="7" bestFit="1" customWidth="1"/>
    <col min="5651" max="5888" width="11.42578125" style="7"/>
    <col min="5889" max="5890" width="3" style="7" customWidth="1"/>
    <col min="5891" max="5891" width="45.42578125" style="7" customWidth="1"/>
    <col min="5892" max="5892" width="21" style="7" bestFit="1" customWidth="1"/>
    <col min="5893" max="5894" width="21.28515625" style="7" customWidth="1"/>
    <col min="5895" max="5895" width="12.7109375" style="7" customWidth="1"/>
    <col min="5896" max="5896" width="14.7109375" style="7" bestFit="1" customWidth="1"/>
    <col min="5897" max="5902" width="13.42578125" style="7" customWidth="1"/>
    <col min="5903" max="5903" width="14" style="7" customWidth="1"/>
    <col min="5904" max="5904" width="13.5703125" style="7" bestFit="1" customWidth="1"/>
    <col min="5905" max="5905" width="15.28515625" style="7" bestFit="1" customWidth="1"/>
    <col min="5906" max="5906" width="12.85546875" style="7" bestFit="1" customWidth="1"/>
    <col min="5907" max="6144" width="11.42578125" style="7"/>
    <col min="6145" max="6146" width="3" style="7" customWidth="1"/>
    <col min="6147" max="6147" width="45.42578125" style="7" customWidth="1"/>
    <col min="6148" max="6148" width="21" style="7" bestFit="1" customWidth="1"/>
    <col min="6149" max="6150" width="21.28515625" style="7" customWidth="1"/>
    <col min="6151" max="6151" width="12.7109375" style="7" customWidth="1"/>
    <col min="6152" max="6152" width="14.7109375" style="7" bestFit="1" customWidth="1"/>
    <col min="6153" max="6158" width="13.42578125" style="7" customWidth="1"/>
    <col min="6159" max="6159" width="14" style="7" customWidth="1"/>
    <col min="6160" max="6160" width="13.5703125" style="7" bestFit="1" customWidth="1"/>
    <col min="6161" max="6161" width="15.28515625" style="7" bestFit="1" customWidth="1"/>
    <col min="6162" max="6162" width="12.85546875" style="7" bestFit="1" customWidth="1"/>
    <col min="6163" max="6400" width="11.42578125" style="7"/>
    <col min="6401" max="6402" width="3" style="7" customWidth="1"/>
    <col min="6403" max="6403" width="45.42578125" style="7" customWidth="1"/>
    <col min="6404" max="6404" width="21" style="7" bestFit="1" customWidth="1"/>
    <col min="6405" max="6406" width="21.28515625" style="7" customWidth="1"/>
    <col min="6407" max="6407" width="12.7109375" style="7" customWidth="1"/>
    <col min="6408" max="6408" width="14.7109375" style="7" bestFit="1" customWidth="1"/>
    <col min="6409" max="6414" width="13.42578125" style="7" customWidth="1"/>
    <col min="6415" max="6415" width="14" style="7" customWidth="1"/>
    <col min="6416" max="6416" width="13.5703125" style="7" bestFit="1" customWidth="1"/>
    <col min="6417" max="6417" width="15.28515625" style="7" bestFit="1" customWidth="1"/>
    <col min="6418" max="6418" width="12.85546875" style="7" bestFit="1" customWidth="1"/>
    <col min="6419" max="6656" width="11.42578125" style="7"/>
    <col min="6657" max="6658" width="3" style="7" customWidth="1"/>
    <col min="6659" max="6659" width="45.42578125" style="7" customWidth="1"/>
    <col min="6660" max="6660" width="21" style="7" bestFit="1" customWidth="1"/>
    <col min="6661" max="6662" width="21.28515625" style="7" customWidth="1"/>
    <col min="6663" max="6663" width="12.7109375" style="7" customWidth="1"/>
    <col min="6664" max="6664" width="14.7109375" style="7" bestFit="1" customWidth="1"/>
    <col min="6665" max="6670" width="13.42578125" style="7" customWidth="1"/>
    <col min="6671" max="6671" width="14" style="7" customWidth="1"/>
    <col min="6672" max="6672" width="13.5703125" style="7" bestFit="1" customWidth="1"/>
    <col min="6673" max="6673" width="15.28515625" style="7" bestFit="1" customWidth="1"/>
    <col min="6674" max="6674" width="12.85546875" style="7" bestFit="1" customWidth="1"/>
    <col min="6675" max="6912" width="11.42578125" style="7"/>
    <col min="6913" max="6914" width="3" style="7" customWidth="1"/>
    <col min="6915" max="6915" width="45.42578125" style="7" customWidth="1"/>
    <col min="6916" max="6916" width="21" style="7" bestFit="1" customWidth="1"/>
    <col min="6917" max="6918" width="21.28515625" style="7" customWidth="1"/>
    <col min="6919" max="6919" width="12.7109375" style="7" customWidth="1"/>
    <col min="6920" max="6920" width="14.7109375" style="7" bestFit="1" customWidth="1"/>
    <col min="6921" max="6926" width="13.42578125" style="7" customWidth="1"/>
    <col min="6927" max="6927" width="14" style="7" customWidth="1"/>
    <col min="6928" max="6928" width="13.5703125" style="7" bestFit="1" customWidth="1"/>
    <col min="6929" max="6929" width="15.28515625" style="7" bestFit="1" customWidth="1"/>
    <col min="6930" max="6930" width="12.85546875" style="7" bestFit="1" customWidth="1"/>
    <col min="6931" max="7168" width="11.42578125" style="7"/>
    <col min="7169" max="7170" width="3" style="7" customWidth="1"/>
    <col min="7171" max="7171" width="45.42578125" style="7" customWidth="1"/>
    <col min="7172" max="7172" width="21" style="7" bestFit="1" customWidth="1"/>
    <col min="7173" max="7174" width="21.28515625" style="7" customWidth="1"/>
    <col min="7175" max="7175" width="12.7109375" style="7" customWidth="1"/>
    <col min="7176" max="7176" width="14.7109375" style="7" bestFit="1" customWidth="1"/>
    <col min="7177" max="7182" width="13.42578125" style="7" customWidth="1"/>
    <col min="7183" max="7183" width="14" style="7" customWidth="1"/>
    <col min="7184" max="7184" width="13.5703125" style="7" bestFit="1" customWidth="1"/>
    <col min="7185" max="7185" width="15.28515625" style="7" bestFit="1" customWidth="1"/>
    <col min="7186" max="7186" width="12.85546875" style="7" bestFit="1" customWidth="1"/>
    <col min="7187" max="7424" width="11.42578125" style="7"/>
    <col min="7425" max="7426" width="3" style="7" customWidth="1"/>
    <col min="7427" max="7427" width="45.42578125" style="7" customWidth="1"/>
    <col min="7428" max="7428" width="21" style="7" bestFit="1" customWidth="1"/>
    <col min="7429" max="7430" width="21.28515625" style="7" customWidth="1"/>
    <col min="7431" max="7431" width="12.7109375" style="7" customWidth="1"/>
    <col min="7432" max="7432" width="14.7109375" style="7" bestFit="1" customWidth="1"/>
    <col min="7433" max="7438" width="13.42578125" style="7" customWidth="1"/>
    <col min="7439" max="7439" width="14" style="7" customWidth="1"/>
    <col min="7440" max="7440" width="13.5703125" style="7" bestFit="1" customWidth="1"/>
    <col min="7441" max="7441" width="15.28515625" style="7" bestFit="1" customWidth="1"/>
    <col min="7442" max="7442" width="12.85546875" style="7" bestFit="1" customWidth="1"/>
    <col min="7443" max="7680" width="11.42578125" style="7"/>
    <col min="7681" max="7682" width="3" style="7" customWidth="1"/>
    <col min="7683" max="7683" width="45.42578125" style="7" customWidth="1"/>
    <col min="7684" max="7684" width="21" style="7" bestFit="1" customWidth="1"/>
    <col min="7685" max="7686" width="21.28515625" style="7" customWidth="1"/>
    <col min="7687" max="7687" width="12.7109375" style="7" customWidth="1"/>
    <col min="7688" max="7688" width="14.7109375" style="7" bestFit="1" customWidth="1"/>
    <col min="7689" max="7694" width="13.42578125" style="7" customWidth="1"/>
    <col min="7695" max="7695" width="14" style="7" customWidth="1"/>
    <col min="7696" max="7696" width="13.5703125" style="7" bestFit="1" customWidth="1"/>
    <col min="7697" max="7697" width="15.28515625" style="7" bestFit="1" customWidth="1"/>
    <col min="7698" max="7698" width="12.85546875" style="7" bestFit="1" customWidth="1"/>
    <col min="7699" max="7936" width="11.42578125" style="7"/>
    <col min="7937" max="7938" width="3" style="7" customWidth="1"/>
    <col min="7939" max="7939" width="45.42578125" style="7" customWidth="1"/>
    <col min="7940" max="7940" width="21" style="7" bestFit="1" customWidth="1"/>
    <col min="7941" max="7942" width="21.28515625" style="7" customWidth="1"/>
    <col min="7943" max="7943" width="12.7109375" style="7" customWidth="1"/>
    <col min="7944" max="7944" width="14.7109375" style="7" bestFit="1" customWidth="1"/>
    <col min="7945" max="7950" width="13.42578125" style="7" customWidth="1"/>
    <col min="7951" max="7951" width="14" style="7" customWidth="1"/>
    <col min="7952" max="7952" width="13.5703125" style="7" bestFit="1" customWidth="1"/>
    <col min="7953" max="7953" width="15.28515625" style="7" bestFit="1" customWidth="1"/>
    <col min="7954" max="7954" width="12.85546875" style="7" bestFit="1" customWidth="1"/>
    <col min="7955" max="8192" width="11.42578125" style="7"/>
    <col min="8193" max="8194" width="3" style="7" customWidth="1"/>
    <col min="8195" max="8195" width="45.42578125" style="7" customWidth="1"/>
    <col min="8196" max="8196" width="21" style="7" bestFit="1" customWidth="1"/>
    <col min="8197" max="8198" width="21.28515625" style="7" customWidth="1"/>
    <col min="8199" max="8199" width="12.7109375" style="7" customWidth="1"/>
    <col min="8200" max="8200" width="14.7109375" style="7" bestFit="1" customWidth="1"/>
    <col min="8201" max="8206" width="13.42578125" style="7" customWidth="1"/>
    <col min="8207" max="8207" width="14" style="7" customWidth="1"/>
    <col min="8208" max="8208" width="13.5703125" style="7" bestFit="1" customWidth="1"/>
    <col min="8209" max="8209" width="15.28515625" style="7" bestFit="1" customWidth="1"/>
    <col min="8210" max="8210" width="12.85546875" style="7" bestFit="1" customWidth="1"/>
    <col min="8211" max="8448" width="11.42578125" style="7"/>
    <col min="8449" max="8450" width="3" style="7" customWidth="1"/>
    <col min="8451" max="8451" width="45.42578125" style="7" customWidth="1"/>
    <col min="8452" max="8452" width="21" style="7" bestFit="1" customWidth="1"/>
    <col min="8453" max="8454" width="21.28515625" style="7" customWidth="1"/>
    <col min="8455" max="8455" width="12.7109375" style="7" customWidth="1"/>
    <col min="8456" max="8456" width="14.7109375" style="7" bestFit="1" customWidth="1"/>
    <col min="8457" max="8462" width="13.42578125" style="7" customWidth="1"/>
    <col min="8463" max="8463" width="14" style="7" customWidth="1"/>
    <col min="8464" max="8464" width="13.5703125" style="7" bestFit="1" customWidth="1"/>
    <col min="8465" max="8465" width="15.28515625" style="7" bestFit="1" customWidth="1"/>
    <col min="8466" max="8466" width="12.85546875" style="7" bestFit="1" customWidth="1"/>
    <col min="8467" max="8704" width="11.42578125" style="7"/>
    <col min="8705" max="8706" width="3" style="7" customWidth="1"/>
    <col min="8707" max="8707" width="45.42578125" style="7" customWidth="1"/>
    <col min="8708" max="8708" width="21" style="7" bestFit="1" customWidth="1"/>
    <col min="8709" max="8710" width="21.28515625" style="7" customWidth="1"/>
    <col min="8711" max="8711" width="12.7109375" style="7" customWidth="1"/>
    <col min="8712" max="8712" width="14.7109375" style="7" bestFit="1" customWidth="1"/>
    <col min="8713" max="8718" width="13.42578125" style="7" customWidth="1"/>
    <col min="8719" max="8719" width="14" style="7" customWidth="1"/>
    <col min="8720" max="8720" width="13.5703125" style="7" bestFit="1" customWidth="1"/>
    <col min="8721" max="8721" width="15.28515625" style="7" bestFit="1" customWidth="1"/>
    <col min="8722" max="8722" width="12.85546875" style="7" bestFit="1" customWidth="1"/>
    <col min="8723" max="8960" width="11.42578125" style="7"/>
    <col min="8961" max="8962" width="3" style="7" customWidth="1"/>
    <col min="8963" max="8963" width="45.42578125" style="7" customWidth="1"/>
    <col min="8964" max="8964" width="21" style="7" bestFit="1" customWidth="1"/>
    <col min="8965" max="8966" width="21.28515625" style="7" customWidth="1"/>
    <col min="8967" max="8967" width="12.7109375" style="7" customWidth="1"/>
    <col min="8968" max="8968" width="14.7109375" style="7" bestFit="1" customWidth="1"/>
    <col min="8969" max="8974" width="13.42578125" style="7" customWidth="1"/>
    <col min="8975" max="8975" width="14" style="7" customWidth="1"/>
    <col min="8976" max="8976" width="13.5703125" style="7" bestFit="1" customWidth="1"/>
    <col min="8977" max="8977" width="15.28515625" style="7" bestFit="1" customWidth="1"/>
    <col min="8978" max="8978" width="12.85546875" style="7" bestFit="1" customWidth="1"/>
    <col min="8979" max="9216" width="11.42578125" style="7"/>
    <col min="9217" max="9218" width="3" style="7" customWidth="1"/>
    <col min="9219" max="9219" width="45.42578125" style="7" customWidth="1"/>
    <col min="9220" max="9220" width="21" style="7" bestFit="1" customWidth="1"/>
    <col min="9221" max="9222" width="21.28515625" style="7" customWidth="1"/>
    <col min="9223" max="9223" width="12.7109375" style="7" customWidth="1"/>
    <col min="9224" max="9224" width="14.7109375" style="7" bestFit="1" customWidth="1"/>
    <col min="9225" max="9230" width="13.42578125" style="7" customWidth="1"/>
    <col min="9231" max="9231" width="14" style="7" customWidth="1"/>
    <col min="9232" max="9232" width="13.5703125" style="7" bestFit="1" customWidth="1"/>
    <col min="9233" max="9233" width="15.28515625" style="7" bestFit="1" customWidth="1"/>
    <col min="9234" max="9234" width="12.85546875" style="7" bestFit="1" customWidth="1"/>
    <col min="9235" max="9472" width="11.42578125" style="7"/>
    <col min="9473" max="9474" width="3" style="7" customWidth="1"/>
    <col min="9475" max="9475" width="45.42578125" style="7" customWidth="1"/>
    <col min="9476" max="9476" width="21" style="7" bestFit="1" customWidth="1"/>
    <col min="9477" max="9478" width="21.28515625" style="7" customWidth="1"/>
    <col min="9479" max="9479" width="12.7109375" style="7" customWidth="1"/>
    <col min="9480" max="9480" width="14.7109375" style="7" bestFit="1" customWidth="1"/>
    <col min="9481" max="9486" width="13.42578125" style="7" customWidth="1"/>
    <col min="9487" max="9487" width="14" style="7" customWidth="1"/>
    <col min="9488" max="9488" width="13.5703125" style="7" bestFit="1" customWidth="1"/>
    <col min="9489" max="9489" width="15.28515625" style="7" bestFit="1" customWidth="1"/>
    <col min="9490" max="9490" width="12.85546875" style="7" bestFit="1" customWidth="1"/>
    <col min="9491" max="9728" width="11.42578125" style="7"/>
    <col min="9729" max="9730" width="3" style="7" customWidth="1"/>
    <col min="9731" max="9731" width="45.42578125" style="7" customWidth="1"/>
    <col min="9732" max="9732" width="21" style="7" bestFit="1" customWidth="1"/>
    <col min="9733" max="9734" width="21.28515625" style="7" customWidth="1"/>
    <col min="9735" max="9735" width="12.7109375" style="7" customWidth="1"/>
    <col min="9736" max="9736" width="14.7109375" style="7" bestFit="1" customWidth="1"/>
    <col min="9737" max="9742" width="13.42578125" style="7" customWidth="1"/>
    <col min="9743" max="9743" width="14" style="7" customWidth="1"/>
    <col min="9744" max="9744" width="13.5703125" style="7" bestFit="1" customWidth="1"/>
    <col min="9745" max="9745" width="15.28515625" style="7" bestFit="1" customWidth="1"/>
    <col min="9746" max="9746" width="12.85546875" style="7" bestFit="1" customWidth="1"/>
    <col min="9747" max="9984" width="11.42578125" style="7"/>
    <col min="9985" max="9986" width="3" style="7" customWidth="1"/>
    <col min="9987" max="9987" width="45.42578125" style="7" customWidth="1"/>
    <col min="9988" max="9988" width="21" style="7" bestFit="1" customWidth="1"/>
    <col min="9989" max="9990" width="21.28515625" style="7" customWidth="1"/>
    <col min="9991" max="9991" width="12.7109375" style="7" customWidth="1"/>
    <col min="9992" max="9992" width="14.7109375" style="7" bestFit="1" customWidth="1"/>
    <col min="9993" max="9998" width="13.42578125" style="7" customWidth="1"/>
    <col min="9999" max="9999" width="14" style="7" customWidth="1"/>
    <col min="10000" max="10000" width="13.5703125" style="7" bestFit="1" customWidth="1"/>
    <col min="10001" max="10001" width="15.28515625" style="7" bestFit="1" customWidth="1"/>
    <col min="10002" max="10002" width="12.85546875" style="7" bestFit="1" customWidth="1"/>
    <col min="10003" max="10240" width="11.42578125" style="7"/>
    <col min="10241" max="10242" width="3" style="7" customWidth="1"/>
    <col min="10243" max="10243" width="45.42578125" style="7" customWidth="1"/>
    <col min="10244" max="10244" width="21" style="7" bestFit="1" customWidth="1"/>
    <col min="10245" max="10246" width="21.28515625" style="7" customWidth="1"/>
    <col min="10247" max="10247" width="12.7109375" style="7" customWidth="1"/>
    <col min="10248" max="10248" width="14.7109375" style="7" bestFit="1" customWidth="1"/>
    <col min="10249" max="10254" width="13.42578125" style="7" customWidth="1"/>
    <col min="10255" max="10255" width="14" style="7" customWidth="1"/>
    <col min="10256" max="10256" width="13.5703125" style="7" bestFit="1" customWidth="1"/>
    <col min="10257" max="10257" width="15.28515625" style="7" bestFit="1" customWidth="1"/>
    <col min="10258" max="10258" width="12.85546875" style="7" bestFit="1" customWidth="1"/>
    <col min="10259" max="10496" width="11.42578125" style="7"/>
    <col min="10497" max="10498" width="3" style="7" customWidth="1"/>
    <col min="10499" max="10499" width="45.42578125" style="7" customWidth="1"/>
    <col min="10500" max="10500" width="21" style="7" bestFit="1" customWidth="1"/>
    <col min="10501" max="10502" width="21.28515625" style="7" customWidth="1"/>
    <col min="10503" max="10503" width="12.7109375" style="7" customWidth="1"/>
    <col min="10504" max="10504" width="14.7109375" style="7" bestFit="1" customWidth="1"/>
    <col min="10505" max="10510" width="13.42578125" style="7" customWidth="1"/>
    <col min="10511" max="10511" width="14" style="7" customWidth="1"/>
    <col min="10512" max="10512" width="13.5703125" style="7" bestFit="1" customWidth="1"/>
    <col min="10513" max="10513" width="15.28515625" style="7" bestFit="1" customWidth="1"/>
    <col min="10514" max="10514" width="12.85546875" style="7" bestFit="1" customWidth="1"/>
    <col min="10515" max="10752" width="11.42578125" style="7"/>
    <col min="10753" max="10754" width="3" style="7" customWidth="1"/>
    <col min="10755" max="10755" width="45.42578125" style="7" customWidth="1"/>
    <col min="10756" max="10756" width="21" style="7" bestFit="1" customWidth="1"/>
    <col min="10757" max="10758" width="21.28515625" style="7" customWidth="1"/>
    <col min="10759" max="10759" width="12.7109375" style="7" customWidth="1"/>
    <col min="10760" max="10760" width="14.7109375" style="7" bestFit="1" customWidth="1"/>
    <col min="10761" max="10766" width="13.42578125" style="7" customWidth="1"/>
    <col min="10767" max="10767" width="14" style="7" customWidth="1"/>
    <col min="10768" max="10768" width="13.5703125" style="7" bestFit="1" customWidth="1"/>
    <col min="10769" max="10769" width="15.28515625" style="7" bestFit="1" customWidth="1"/>
    <col min="10770" max="10770" width="12.85546875" style="7" bestFit="1" customWidth="1"/>
    <col min="10771" max="11008" width="11.42578125" style="7"/>
    <col min="11009" max="11010" width="3" style="7" customWidth="1"/>
    <col min="11011" max="11011" width="45.42578125" style="7" customWidth="1"/>
    <col min="11012" max="11012" width="21" style="7" bestFit="1" customWidth="1"/>
    <col min="11013" max="11014" width="21.28515625" style="7" customWidth="1"/>
    <col min="11015" max="11015" width="12.7109375" style="7" customWidth="1"/>
    <col min="11016" max="11016" width="14.7109375" style="7" bestFit="1" customWidth="1"/>
    <col min="11017" max="11022" width="13.42578125" style="7" customWidth="1"/>
    <col min="11023" max="11023" width="14" style="7" customWidth="1"/>
    <col min="11024" max="11024" width="13.5703125" style="7" bestFit="1" customWidth="1"/>
    <col min="11025" max="11025" width="15.28515625" style="7" bestFit="1" customWidth="1"/>
    <col min="11026" max="11026" width="12.85546875" style="7" bestFit="1" customWidth="1"/>
    <col min="11027" max="11264" width="11.42578125" style="7"/>
    <col min="11265" max="11266" width="3" style="7" customWidth="1"/>
    <col min="11267" max="11267" width="45.42578125" style="7" customWidth="1"/>
    <col min="11268" max="11268" width="21" style="7" bestFit="1" customWidth="1"/>
    <col min="11269" max="11270" width="21.28515625" style="7" customWidth="1"/>
    <col min="11271" max="11271" width="12.7109375" style="7" customWidth="1"/>
    <col min="11272" max="11272" width="14.7109375" style="7" bestFit="1" customWidth="1"/>
    <col min="11273" max="11278" width="13.42578125" style="7" customWidth="1"/>
    <col min="11279" max="11279" width="14" style="7" customWidth="1"/>
    <col min="11280" max="11280" width="13.5703125" style="7" bestFit="1" customWidth="1"/>
    <col min="11281" max="11281" width="15.28515625" style="7" bestFit="1" customWidth="1"/>
    <col min="11282" max="11282" width="12.85546875" style="7" bestFit="1" customWidth="1"/>
    <col min="11283" max="11520" width="11.42578125" style="7"/>
    <col min="11521" max="11522" width="3" style="7" customWidth="1"/>
    <col min="11523" max="11523" width="45.42578125" style="7" customWidth="1"/>
    <col min="11524" max="11524" width="21" style="7" bestFit="1" customWidth="1"/>
    <col min="11525" max="11526" width="21.28515625" style="7" customWidth="1"/>
    <col min="11527" max="11527" width="12.7109375" style="7" customWidth="1"/>
    <col min="11528" max="11528" width="14.7109375" style="7" bestFit="1" customWidth="1"/>
    <col min="11529" max="11534" width="13.42578125" style="7" customWidth="1"/>
    <col min="11535" max="11535" width="14" style="7" customWidth="1"/>
    <col min="11536" max="11536" width="13.5703125" style="7" bestFit="1" customWidth="1"/>
    <col min="11537" max="11537" width="15.28515625" style="7" bestFit="1" customWidth="1"/>
    <col min="11538" max="11538" width="12.85546875" style="7" bestFit="1" customWidth="1"/>
    <col min="11539" max="11776" width="11.42578125" style="7"/>
    <col min="11777" max="11778" width="3" style="7" customWidth="1"/>
    <col min="11779" max="11779" width="45.42578125" style="7" customWidth="1"/>
    <col min="11780" max="11780" width="21" style="7" bestFit="1" customWidth="1"/>
    <col min="11781" max="11782" width="21.28515625" style="7" customWidth="1"/>
    <col min="11783" max="11783" width="12.7109375" style="7" customWidth="1"/>
    <col min="11784" max="11784" width="14.7109375" style="7" bestFit="1" customWidth="1"/>
    <col min="11785" max="11790" width="13.42578125" style="7" customWidth="1"/>
    <col min="11791" max="11791" width="14" style="7" customWidth="1"/>
    <col min="11792" max="11792" width="13.5703125" style="7" bestFit="1" customWidth="1"/>
    <col min="11793" max="11793" width="15.28515625" style="7" bestFit="1" customWidth="1"/>
    <col min="11794" max="11794" width="12.85546875" style="7" bestFit="1" customWidth="1"/>
    <col min="11795" max="12032" width="11.42578125" style="7"/>
    <col min="12033" max="12034" width="3" style="7" customWidth="1"/>
    <col min="12035" max="12035" width="45.42578125" style="7" customWidth="1"/>
    <col min="12036" max="12036" width="21" style="7" bestFit="1" customWidth="1"/>
    <col min="12037" max="12038" width="21.28515625" style="7" customWidth="1"/>
    <col min="12039" max="12039" width="12.7109375" style="7" customWidth="1"/>
    <col min="12040" max="12040" width="14.7109375" style="7" bestFit="1" customWidth="1"/>
    <col min="12041" max="12046" width="13.42578125" style="7" customWidth="1"/>
    <col min="12047" max="12047" width="14" style="7" customWidth="1"/>
    <col min="12048" max="12048" width="13.5703125" style="7" bestFit="1" customWidth="1"/>
    <col min="12049" max="12049" width="15.28515625" style="7" bestFit="1" customWidth="1"/>
    <col min="12050" max="12050" width="12.85546875" style="7" bestFit="1" customWidth="1"/>
    <col min="12051" max="12288" width="11.42578125" style="7"/>
    <col min="12289" max="12290" width="3" style="7" customWidth="1"/>
    <col min="12291" max="12291" width="45.42578125" style="7" customWidth="1"/>
    <col min="12292" max="12292" width="21" style="7" bestFit="1" customWidth="1"/>
    <col min="12293" max="12294" width="21.28515625" style="7" customWidth="1"/>
    <col min="12295" max="12295" width="12.7109375" style="7" customWidth="1"/>
    <col min="12296" max="12296" width="14.7109375" style="7" bestFit="1" customWidth="1"/>
    <col min="12297" max="12302" width="13.42578125" style="7" customWidth="1"/>
    <col min="12303" max="12303" width="14" style="7" customWidth="1"/>
    <col min="12304" max="12304" width="13.5703125" style="7" bestFit="1" customWidth="1"/>
    <col min="12305" max="12305" width="15.28515625" style="7" bestFit="1" customWidth="1"/>
    <col min="12306" max="12306" width="12.85546875" style="7" bestFit="1" customWidth="1"/>
    <col min="12307" max="12544" width="11.42578125" style="7"/>
    <col min="12545" max="12546" width="3" style="7" customWidth="1"/>
    <col min="12547" max="12547" width="45.42578125" style="7" customWidth="1"/>
    <col min="12548" max="12548" width="21" style="7" bestFit="1" customWidth="1"/>
    <col min="12549" max="12550" width="21.28515625" style="7" customWidth="1"/>
    <col min="12551" max="12551" width="12.7109375" style="7" customWidth="1"/>
    <col min="12552" max="12552" width="14.7109375" style="7" bestFit="1" customWidth="1"/>
    <col min="12553" max="12558" width="13.42578125" style="7" customWidth="1"/>
    <col min="12559" max="12559" width="14" style="7" customWidth="1"/>
    <col min="12560" max="12560" width="13.5703125" style="7" bestFit="1" customWidth="1"/>
    <col min="12561" max="12561" width="15.28515625" style="7" bestFit="1" customWidth="1"/>
    <col min="12562" max="12562" width="12.85546875" style="7" bestFit="1" customWidth="1"/>
    <col min="12563" max="12800" width="11.42578125" style="7"/>
    <col min="12801" max="12802" width="3" style="7" customWidth="1"/>
    <col min="12803" max="12803" width="45.42578125" style="7" customWidth="1"/>
    <col min="12804" max="12804" width="21" style="7" bestFit="1" customWidth="1"/>
    <col min="12805" max="12806" width="21.28515625" style="7" customWidth="1"/>
    <col min="12807" max="12807" width="12.7109375" style="7" customWidth="1"/>
    <col min="12808" max="12808" width="14.7109375" style="7" bestFit="1" customWidth="1"/>
    <col min="12809" max="12814" width="13.42578125" style="7" customWidth="1"/>
    <col min="12815" max="12815" width="14" style="7" customWidth="1"/>
    <col min="12816" max="12816" width="13.5703125" style="7" bestFit="1" customWidth="1"/>
    <col min="12817" max="12817" width="15.28515625" style="7" bestFit="1" customWidth="1"/>
    <col min="12818" max="12818" width="12.85546875" style="7" bestFit="1" customWidth="1"/>
    <col min="12819" max="13056" width="11.42578125" style="7"/>
    <col min="13057" max="13058" width="3" style="7" customWidth="1"/>
    <col min="13059" max="13059" width="45.42578125" style="7" customWidth="1"/>
    <col min="13060" max="13060" width="21" style="7" bestFit="1" customWidth="1"/>
    <col min="13061" max="13062" width="21.28515625" style="7" customWidth="1"/>
    <col min="13063" max="13063" width="12.7109375" style="7" customWidth="1"/>
    <col min="13064" max="13064" width="14.7109375" style="7" bestFit="1" customWidth="1"/>
    <col min="13065" max="13070" width="13.42578125" style="7" customWidth="1"/>
    <col min="13071" max="13071" width="14" style="7" customWidth="1"/>
    <col min="13072" max="13072" width="13.5703125" style="7" bestFit="1" customWidth="1"/>
    <col min="13073" max="13073" width="15.28515625" style="7" bestFit="1" customWidth="1"/>
    <col min="13074" max="13074" width="12.85546875" style="7" bestFit="1" customWidth="1"/>
    <col min="13075" max="13312" width="11.42578125" style="7"/>
    <col min="13313" max="13314" width="3" style="7" customWidth="1"/>
    <col min="13315" max="13315" width="45.42578125" style="7" customWidth="1"/>
    <col min="13316" max="13316" width="21" style="7" bestFit="1" customWidth="1"/>
    <col min="13317" max="13318" width="21.28515625" style="7" customWidth="1"/>
    <col min="13319" max="13319" width="12.7109375" style="7" customWidth="1"/>
    <col min="13320" max="13320" width="14.7109375" style="7" bestFit="1" customWidth="1"/>
    <col min="13321" max="13326" width="13.42578125" style="7" customWidth="1"/>
    <col min="13327" max="13327" width="14" style="7" customWidth="1"/>
    <col min="13328" max="13328" width="13.5703125" style="7" bestFit="1" customWidth="1"/>
    <col min="13329" max="13329" width="15.28515625" style="7" bestFit="1" customWidth="1"/>
    <col min="13330" max="13330" width="12.85546875" style="7" bestFit="1" customWidth="1"/>
    <col min="13331" max="13568" width="11.42578125" style="7"/>
    <col min="13569" max="13570" width="3" style="7" customWidth="1"/>
    <col min="13571" max="13571" width="45.42578125" style="7" customWidth="1"/>
    <col min="13572" max="13572" width="21" style="7" bestFit="1" customWidth="1"/>
    <col min="13573" max="13574" width="21.28515625" style="7" customWidth="1"/>
    <col min="13575" max="13575" width="12.7109375" style="7" customWidth="1"/>
    <col min="13576" max="13576" width="14.7109375" style="7" bestFit="1" customWidth="1"/>
    <col min="13577" max="13582" width="13.42578125" style="7" customWidth="1"/>
    <col min="13583" max="13583" width="14" style="7" customWidth="1"/>
    <col min="13584" max="13584" width="13.5703125" style="7" bestFit="1" customWidth="1"/>
    <col min="13585" max="13585" width="15.28515625" style="7" bestFit="1" customWidth="1"/>
    <col min="13586" max="13586" width="12.85546875" style="7" bestFit="1" customWidth="1"/>
    <col min="13587" max="13824" width="11.42578125" style="7"/>
    <col min="13825" max="13826" width="3" style="7" customWidth="1"/>
    <col min="13827" max="13827" width="45.42578125" style="7" customWidth="1"/>
    <col min="13828" max="13828" width="21" style="7" bestFit="1" customWidth="1"/>
    <col min="13829" max="13830" width="21.28515625" style="7" customWidth="1"/>
    <col min="13831" max="13831" width="12.7109375" style="7" customWidth="1"/>
    <col min="13832" max="13832" width="14.7109375" style="7" bestFit="1" customWidth="1"/>
    <col min="13833" max="13838" width="13.42578125" style="7" customWidth="1"/>
    <col min="13839" max="13839" width="14" style="7" customWidth="1"/>
    <col min="13840" max="13840" width="13.5703125" style="7" bestFit="1" customWidth="1"/>
    <col min="13841" max="13841" width="15.28515625" style="7" bestFit="1" customWidth="1"/>
    <col min="13842" max="13842" width="12.85546875" style="7" bestFit="1" customWidth="1"/>
    <col min="13843" max="14080" width="11.42578125" style="7"/>
    <col min="14081" max="14082" width="3" style="7" customWidth="1"/>
    <col min="14083" max="14083" width="45.42578125" style="7" customWidth="1"/>
    <col min="14084" max="14084" width="21" style="7" bestFit="1" customWidth="1"/>
    <col min="14085" max="14086" width="21.28515625" style="7" customWidth="1"/>
    <col min="14087" max="14087" width="12.7109375" style="7" customWidth="1"/>
    <col min="14088" max="14088" width="14.7109375" style="7" bestFit="1" customWidth="1"/>
    <col min="14089" max="14094" width="13.42578125" style="7" customWidth="1"/>
    <col min="14095" max="14095" width="14" style="7" customWidth="1"/>
    <col min="14096" max="14096" width="13.5703125" style="7" bestFit="1" customWidth="1"/>
    <col min="14097" max="14097" width="15.28515625" style="7" bestFit="1" customWidth="1"/>
    <col min="14098" max="14098" width="12.85546875" style="7" bestFit="1" customWidth="1"/>
    <col min="14099" max="14336" width="11.42578125" style="7"/>
    <col min="14337" max="14338" width="3" style="7" customWidth="1"/>
    <col min="14339" max="14339" width="45.42578125" style="7" customWidth="1"/>
    <col min="14340" max="14340" width="21" style="7" bestFit="1" customWidth="1"/>
    <col min="14341" max="14342" width="21.28515625" style="7" customWidth="1"/>
    <col min="14343" max="14343" width="12.7109375" style="7" customWidth="1"/>
    <col min="14344" max="14344" width="14.7109375" style="7" bestFit="1" customWidth="1"/>
    <col min="14345" max="14350" width="13.42578125" style="7" customWidth="1"/>
    <col min="14351" max="14351" width="14" style="7" customWidth="1"/>
    <col min="14352" max="14352" width="13.5703125" style="7" bestFit="1" customWidth="1"/>
    <col min="14353" max="14353" width="15.28515625" style="7" bestFit="1" customWidth="1"/>
    <col min="14354" max="14354" width="12.85546875" style="7" bestFit="1" customWidth="1"/>
    <col min="14355" max="14592" width="11.42578125" style="7"/>
    <col min="14593" max="14594" width="3" style="7" customWidth="1"/>
    <col min="14595" max="14595" width="45.42578125" style="7" customWidth="1"/>
    <col min="14596" max="14596" width="21" style="7" bestFit="1" customWidth="1"/>
    <col min="14597" max="14598" width="21.28515625" style="7" customWidth="1"/>
    <col min="14599" max="14599" width="12.7109375" style="7" customWidth="1"/>
    <col min="14600" max="14600" width="14.7109375" style="7" bestFit="1" customWidth="1"/>
    <col min="14601" max="14606" width="13.42578125" style="7" customWidth="1"/>
    <col min="14607" max="14607" width="14" style="7" customWidth="1"/>
    <col min="14608" max="14608" width="13.5703125" style="7" bestFit="1" customWidth="1"/>
    <col min="14609" max="14609" width="15.28515625" style="7" bestFit="1" customWidth="1"/>
    <col min="14610" max="14610" width="12.85546875" style="7" bestFit="1" customWidth="1"/>
    <col min="14611" max="14848" width="11.42578125" style="7"/>
    <col min="14849" max="14850" width="3" style="7" customWidth="1"/>
    <col min="14851" max="14851" width="45.42578125" style="7" customWidth="1"/>
    <col min="14852" max="14852" width="21" style="7" bestFit="1" customWidth="1"/>
    <col min="14853" max="14854" width="21.28515625" style="7" customWidth="1"/>
    <col min="14855" max="14855" width="12.7109375" style="7" customWidth="1"/>
    <col min="14856" max="14856" width="14.7109375" style="7" bestFit="1" customWidth="1"/>
    <col min="14857" max="14862" width="13.42578125" style="7" customWidth="1"/>
    <col min="14863" max="14863" width="14" style="7" customWidth="1"/>
    <col min="14864" max="14864" width="13.5703125" style="7" bestFit="1" customWidth="1"/>
    <col min="14865" max="14865" width="15.28515625" style="7" bestFit="1" customWidth="1"/>
    <col min="14866" max="14866" width="12.85546875" style="7" bestFit="1" customWidth="1"/>
    <col min="14867" max="15104" width="11.42578125" style="7"/>
    <col min="15105" max="15106" width="3" style="7" customWidth="1"/>
    <col min="15107" max="15107" width="45.42578125" style="7" customWidth="1"/>
    <col min="15108" max="15108" width="21" style="7" bestFit="1" customWidth="1"/>
    <col min="15109" max="15110" width="21.28515625" style="7" customWidth="1"/>
    <col min="15111" max="15111" width="12.7109375" style="7" customWidth="1"/>
    <col min="15112" max="15112" width="14.7109375" style="7" bestFit="1" customWidth="1"/>
    <col min="15113" max="15118" width="13.42578125" style="7" customWidth="1"/>
    <col min="15119" max="15119" width="14" style="7" customWidth="1"/>
    <col min="15120" max="15120" width="13.5703125" style="7" bestFit="1" customWidth="1"/>
    <col min="15121" max="15121" width="15.28515625" style="7" bestFit="1" customWidth="1"/>
    <col min="15122" max="15122" width="12.85546875" style="7" bestFit="1" customWidth="1"/>
    <col min="15123" max="15360" width="11.42578125" style="7"/>
    <col min="15361" max="15362" width="3" style="7" customWidth="1"/>
    <col min="15363" max="15363" width="45.42578125" style="7" customWidth="1"/>
    <col min="15364" max="15364" width="21" style="7" bestFit="1" customWidth="1"/>
    <col min="15365" max="15366" width="21.28515625" style="7" customWidth="1"/>
    <col min="15367" max="15367" width="12.7109375" style="7" customWidth="1"/>
    <col min="15368" max="15368" width="14.7109375" style="7" bestFit="1" customWidth="1"/>
    <col min="15369" max="15374" width="13.42578125" style="7" customWidth="1"/>
    <col min="15375" max="15375" width="14" style="7" customWidth="1"/>
    <col min="15376" max="15376" width="13.5703125" style="7" bestFit="1" customWidth="1"/>
    <col min="15377" max="15377" width="15.28515625" style="7" bestFit="1" customWidth="1"/>
    <col min="15378" max="15378" width="12.85546875" style="7" bestFit="1" customWidth="1"/>
    <col min="15379" max="15616" width="11.42578125" style="7"/>
    <col min="15617" max="15618" width="3" style="7" customWidth="1"/>
    <col min="15619" max="15619" width="45.42578125" style="7" customWidth="1"/>
    <col min="15620" max="15620" width="21" style="7" bestFit="1" customWidth="1"/>
    <col min="15621" max="15622" width="21.28515625" style="7" customWidth="1"/>
    <col min="15623" max="15623" width="12.7109375" style="7" customWidth="1"/>
    <col min="15624" max="15624" width="14.7109375" style="7" bestFit="1" customWidth="1"/>
    <col min="15625" max="15630" width="13.42578125" style="7" customWidth="1"/>
    <col min="15631" max="15631" width="14" style="7" customWidth="1"/>
    <col min="15632" max="15632" width="13.5703125" style="7" bestFit="1" customWidth="1"/>
    <col min="15633" max="15633" width="15.28515625" style="7" bestFit="1" customWidth="1"/>
    <col min="15634" max="15634" width="12.85546875" style="7" bestFit="1" customWidth="1"/>
    <col min="15635" max="15872" width="11.42578125" style="7"/>
    <col min="15873" max="15874" width="3" style="7" customWidth="1"/>
    <col min="15875" max="15875" width="45.42578125" style="7" customWidth="1"/>
    <col min="15876" max="15876" width="21" style="7" bestFit="1" customWidth="1"/>
    <col min="15877" max="15878" width="21.28515625" style="7" customWidth="1"/>
    <col min="15879" max="15879" width="12.7109375" style="7" customWidth="1"/>
    <col min="15880" max="15880" width="14.7109375" style="7" bestFit="1" customWidth="1"/>
    <col min="15881" max="15886" width="13.42578125" style="7" customWidth="1"/>
    <col min="15887" max="15887" width="14" style="7" customWidth="1"/>
    <col min="15888" max="15888" width="13.5703125" style="7" bestFit="1" customWidth="1"/>
    <col min="15889" max="15889" width="15.28515625" style="7" bestFit="1" customWidth="1"/>
    <col min="15890" max="15890" width="12.85546875" style="7" bestFit="1" customWidth="1"/>
    <col min="15891" max="16128" width="11.42578125" style="7"/>
    <col min="16129" max="16130" width="3" style="7" customWidth="1"/>
    <col min="16131" max="16131" width="45.42578125" style="7" customWidth="1"/>
    <col min="16132" max="16132" width="21" style="7" bestFit="1" customWidth="1"/>
    <col min="16133" max="16134" width="21.28515625" style="7" customWidth="1"/>
    <col min="16135" max="16135" width="12.7109375" style="7" customWidth="1"/>
    <col min="16136" max="16136" width="14.7109375" style="7" bestFit="1" customWidth="1"/>
    <col min="16137" max="16142" width="13.42578125" style="7" customWidth="1"/>
    <col min="16143" max="16143" width="14" style="7" customWidth="1"/>
    <col min="16144" max="16144" width="13.5703125" style="7" bestFit="1" customWidth="1"/>
    <col min="16145" max="16145" width="15.28515625" style="7" bestFit="1" customWidth="1"/>
    <col min="16146" max="16146" width="12.85546875" style="7" bestFit="1" customWidth="1"/>
    <col min="16147" max="16384" width="11.42578125" style="7"/>
  </cols>
  <sheetData>
    <row r="1" spans="1:18" ht="23.25" customHeight="1" x14ac:dyDescent="0.25">
      <c r="A1" s="1"/>
      <c r="B1" s="1"/>
      <c r="C1" s="2"/>
      <c r="D1" s="2"/>
      <c r="E1" s="2"/>
      <c r="F1" s="2"/>
      <c r="H1" s="2"/>
      <c r="I1" s="4"/>
      <c r="J1" s="5"/>
      <c r="K1" s="5"/>
      <c r="L1" s="5"/>
      <c r="M1" s="5"/>
      <c r="N1" s="5"/>
    </row>
    <row r="2" spans="1:18" ht="23.25" customHeight="1" x14ac:dyDescent="0.25">
      <c r="A2" s="1"/>
      <c r="B2" s="1"/>
      <c r="D2" s="2"/>
      <c r="E2" s="2"/>
      <c r="F2" s="2"/>
      <c r="I2" s="64"/>
      <c r="J2" s="64"/>
      <c r="K2" s="64"/>
      <c r="L2" s="64"/>
      <c r="M2" s="64"/>
      <c r="N2" s="64"/>
    </row>
    <row r="3" spans="1:18" ht="23.25" customHeight="1" x14ac:dyDescent="0.25">
      <c r="I3" s="5"/>
      <c r="J3" s="5"/>
      <c r="K3" s="5"/>
      <c r="L3" s="5"/>
      <c r="M3" s="5"/>
      <c r="N3" s="5"/>
    </row>
    <row r="4" spans="1:18" ht="26.25" customHeight="1" x14ac:dyDescent="0.25">
      <c r="A4" s="9" t="s">
        <v>0</v>
      </c>
      <c r="B4" s="9"/>
      <c r="C4" s="9"/>
      <c r="D4" s="10" t="s">
        <v>1</v>
      </c>
      <c r="E4" s="11" t="s">
        <v>2</v>
      </c>
      <c r="F4" s="11" t="s">
        <v>3</v>
      </c>
      <c r="G4" s="12" t="s">
        <v>4</v>
      </c>
      <c r="H4" s="10" t="s">
        <v>5</v>
      </c>
      <c r="I4" s="10" t="s">
        <v>6</v>
      </c>
      <c r="J4" s="10"/>
      <c r="K4" s="10"/>
      <c r="L4" s="10"/>
      <c r="M4" s="10"/>
      <c r="N4" s="10"/>
      <c r="P4" s="13"/>
    </row>
    <row r="5" spans="1:18" ht="26.25" customHeight="1" x14ac:dyDescent="0.25">
      <c r="A5" s="9"/>
      <c r="B5" s="9"/>
      <c r="C5" s="9"/>
      <c r="D5" s="10"/>
      <c r="E5" s="11"/>
      <c r="F5" s="11"/>
      <c r="G5" s="14">
        <v>45901</v>
      </c>
      <c r="H5" s="10"/>
      <c r="I5" s="15" t="s">
        <v>7</v>
      </c>
      <c r="J5" s="15" t="s">
        <v>8</v>
      </c>
      <c r="K5" s="15" t="s">
        <v>9</v>
      </c>
      <c r="L5" s="15" t="s">
        <v>58</v>
      </c>
      <c r="M5" s="15" t="s">
        <v>59</v>
      </c>
      <c r="N5" s="15" t="s">
        <v>12</v>
      </c>
      <c r="P5" s="13"/>
    </row>
    <row r="6" spans="1:18" s="16" customFormat="1" ht="4.5" customHeight="1" x14ac:dyDescent="0.25">
      <c r="A6" s="65"/>
      <c r="B6" s="66"/>
      <c r="C6" s="67"/>
      <c r="D6" s="66"/>
      <c r="E6" s="68"/>
      <c r="F6" s="68"/>
      <c r="G6" s="69"/>
      <c r="H6" s="70"/>
      <c r="I6" s="71"/>
      <c r="J6" s="71"/>
      <c r="K6" s="71"/>
      <c r="L6" s="71"/>
      <c r="M6" s="71"/>
      <c r="N6" s="71"/>
      <c r="O6" s="72"/>
      <c r="P6" s="73"/>
      <c r="Q6" s="66"/>
      <c r="R6" s="7"/>
    </row>
    <row r="7" spans="1:18" x14ac:dyDescent="0.25">
      <c r="A7" s="65"/>
      <c r="B7" s="17" t="s">
        <v>13</v>
      </c>
      <c r="G7" s="74"/>
      <c r="I7" s="23"/>
      <c r="J7" s="23"/>
      <c r="K7" s="23"/>
      <c r="L7" s="23"/>
      <c r="M7" s="23"/>
      <c r="N7" s="23"/>
      <c r="O7" s="72"/>
      <c r="P7" s="73"/>
      <c r="Q7" s="65"/>
    </row>
    <row r="8" spans="1:18" ht="4.5" customHeight="1" x14ac:dyDescent="0.25">
      <c r="A8" s="65"/>
      <c r="B8" s="17"/>
      <c r="E8" s="24"/>
      <c r="F8" s="24"/>
      <c r="G8" s="113"/>
      <c r="H8" s="26"/>
      <c r="I8" s="23"/>
      <c r="J8" s="23"/>
      <c r="K8" s="23"/>
      <c r="L8" s="23"/>
      <c r="M8" s="23"/>
      <c r="N8" s="23"/>
      <c r="O8" s="72"/>
      <c r="P8" s="73"/>
      <c r="Q8" s="65"/>
    </row>
    <row r="9" spans="1:18" x14ac:dyDescent="0.25">
      <c r="A9" s="65"/>
      <c r="B9" s="26"/>
      <c r="C9" s="65" t="s">
        <v>14</v>
      </c>
      <c r="D9" s="27" t="s">
        <v>15</v>
      </c>
      <c r="E9" s="77">
        <v>5.2499999999999998E-2</v>
      </c>
      <c r="F9" s="78" t="s">
        <v>81</v>
      </c>
      <c r="G9" s="79">
        <v>4074.1379808515494</v>
      </c>
      <c r="H9" s="80" t="s">
        <v>17</v>
      </c>
      <c r="I9" s="79">
        <v>89.544711631549035</v>
      </c>
      <c r="J9" s="79">
        <v>2294.9492456086241</v>
      </c>
      <c r="K9" s="79">
        <v>-1.4496864943118288</v>
      </c>
      <c r="L9" s="79">
        <v>1691.0937101056882</v>
      </c>
      <c r="M9" s="79">
        <v>0</v>
      </c>
      <c r="N9" s="79">
        <v>0</v>
      </c>
      <c r="O9" s="81"/>
      <c r="P9" s="73"/>
      <c r="Q9" s="82"/>
      <c r="R9" s="31"/>
    </row>
    <row r="10" spans="1:18" x14ac:dyDescent="0.25">
      <c r="A10" s="65"/>
      <c r="B10" s="65"/>
      <c r="C10" s="65" t="s">
        <v>61</v>
      </c>
      <c r="D10" s="27" t="s">
        <v>15</v>
      </c>
      <c r="E10" s="77">
        <v>4.9500000000000002E-2</v>
      </c>
      <c r="F10" s="78" t="s">
        <v>62</v>
      </c>
      <c r="G10" s="79">
        <v>1013.830515243238</v>
      </c>
      <c r="H10" s="80">
        <v>2031</v>
      </c>
      <c r="I10" s="79">
        <v>3.6608111546580631</v>
      </c>
      <c r="J10" s="79">
        <v>-3.3398737157932077</v>
      </c>
      <c r="K10" s="79">
        <v>-3.3398737157932077</v>
      </c>
      <c r="L10" s="79">
        <v>-3.3398737157932077</v>
      </c>
      <c r="M10" s="79">
        <v>-3.3398737157932077</v>
      </c>
      <c r="N10" s="79">
        <v>1023.5291989517527</v>
      </c>
      <c r="O10" s="81"/>
      <c r="P10" s="73"/>
      <c r="Q10" s="82"/>
    </row>
    <row r="11" spans="1:18" outlineLevel="1" x14ac:dyDescent="0.25">
      <c r="A11" s="65"/>
      <c r="B11" s="65"/>
      <c r="C11" s="65" t="s">
        <v>63</v>
      </c>
      <c r="D11" s="27" t="s">
        <v>64</v>
      </c>
      <c r="E11" s="77">
        <v>9.1000000000000004E-3</v>
      </c>
      <c r="F11" s="78" t="s">
        <v>65</v>
      </c>
      <c r="G11" s="79">
        <v>537.37067605020241</v>
      </c>
      <c r="H11" s="80">
        <v>2026</v>
      </c>
      <c r="I11" s="79">
        <v>537.37067605020241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81"/>
      <c r="P11" s="73"/>
      <c r="Q11" s="65"/>
    </row>
    <row r="12" spans="1:18" outlineLevel="1" x14ac:dyDescent="0.25">
      <c r="A12" s="65"/>
      <c r="B12" s="65"/>
      <c r="C12" s="65" t="s">
        <v>18</v>
      </c>
      <c r="D12" s="27" t="s">
        <v>15</v>
      </c>
      <c r="E12" s="77">
        <v>4.5551957251020729E-2</v>
      </c>
      <c r="F12" s="78" t="s">
        <v>82</v>
      </c>
      <c r="G12" s="79">
        <v>749.59271823000006</v>
      </c>
      <c r="H12" s="80" t="s">
        <v>83</v>
      </c>
      <c r="I12" s="79">
        <v>500.32305307000007</v>
      </c>
      <c r="J12" s="79">
        <v>249.26966515999999</v>
      </c>
      <c r="K12" s="79">
        <v>0</v>
      </c>
      <c r="L12" s="79">
        <v>0</v>
      </c>
      <c r="M12" s="79">
        <v>0</v>
      </c>
      <c r="N12" s="79">
        <v>0</v>
      </c>
      <c r="O12" s="81"/>
      <c r="P12" s="73"/>
      <c r="Q12" s="65"/>
    </row>
    <row r="13" spans="1:18" outlineLevel="1" x14ac:dyDescent="0.25">
      <c r="A13" s="65"/>
      <c r="B13" s="65"/>
      <c r="C13" s="65" t="s">
        <v>21</v>
      </c>
      <c r="D13" s="27" t="s">
        <v>15</v>
      </c>
      <c r="E13" s="77">
        <v>5.3199999999999997E-2</v>
      </c>
      <c r="F13" s="78" t="s">
        <v>22</v>
      </c>
      <c r="G13" s="79">
        <v>328.49031614</v>
      </c>
      <c r="H13" s="80">
        <v>2026</v>
      </c>
      <c r="I13" s="79">
        <v>328.49031614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81"/>
      <c r="P13" s="73"/>
      <c r="Q13" s="65"/>
    </row>
    <row r="14" spans="1:18" outlineLevel="1" x14ac:dyDescent="0.25">
      <c r="A14" s="65"/>
      <c r="B14" s="65"/>
      <c r="C14" s="65" t="s">
        <v>21</v>
      </c>
      <c r="D14" s="27" t="s">
        <v>67</v>
      </c>
      <c r="E14" s="77">
        <v>3.0300000000000001E-2</v>
      </c>
      <c r="F14" s="78" t="s">
        <v>84</v>
      </c>
      <c r="G14" s="79">
        <v>488.11680300999996</v>
      </c>
      <c r="H14" s="80">
        <v>2027</v>
      </c>
      <c r="I14" s="79">
        <v>3.9180454999998915</v>
      </c>
      <c r="J14" s="79">
        <v>484.19875751000006</v>
      </c>
      <c r="K14" s="79">
        <v>0</v>
      </c>
      <c r="L14" s="79">
        <v>0</v>
      </c>
      <c r="M14" s="79">
        <v>0</v>
      </c>
      <c r="N14" s="79">
        <v>0</v>
      </c>
      <c r="O14" s="81"/>
      <c r="P14" s="73"/>
      <c r="Q14" s="65"/>
    </row>
    <row r="15" spans="1:18" s="16" customFormat="1" x14ac:dyDescent="0.25">
      <c r="A15" s="65"/>
      <c r="B15" s="66"/>
      <c r="C15" s="65" t="s">
        <v>69</v>
      </c>
      <c r="D15" s="27" t="s">
        <v>15</v>
      </c>
      <c r="E15" s="77">
        <v>2.5000000000000005E-2</v>
      </c>
      <c r="F15" s="78" t="s">
        <v>33</v>
      </c>
      <c r="G15" s="79">
        <v>403.00385874999984</v>
      </c>
      <c r="H15" s="80" t="s">
        <v>70</v>
      </c>
      <c r="I15" s="79">
        <v>63.043729509999935</v>
      </c>
      <c r="J15" s="79">
        <v>55.128669606486469</v>
      </c>
      <c r="K15" s="79">
        <v>55.128669606486469</v>
      </c>
      <c r="L15" s="79">
        <v>55.128669606486469</v>
      </c>
      <c r="M15" s="79">
        <v>55.128669606486469</v>
      </c>
      <c r="N15" s="79">
        <v>119.44545081405401</v>
      </c>
      <c r="O15" s="81"/>
      <c r="P15" s="73"/>
      <c r="Q15" s="66"/>
      <c r="R15" s="7"/>
    </row>
    <row r="16" spans="1:18" s="16" customFormat="1" ht="5.0999999999999996" customHeight="1" thickBot="1" x14ac:dyDescent="0.3">
      <c r="A16" s="65"/>
      <c r="B16" s="66"/>
      <c r="C16" s="67"/>
      <c r="D16" s="66"/>
      <c r="E16" s="68"/>
      <c r="F16" s="68"/>
      <c r="G16" s="83"/>
      <c r="H16" s="70"/>
      <c r="I16" s="83"/>
      <c r="J16" s="83"/>
      <c r="K16" s="83"/>
      <c r="L16" s="83"/>
      <c r="M16" s="83"/>
      <c r="N16" s="83"/>
      <c r="O16" s="72"/>
      <c r="P16" s="73"/>
      <c r="Q16" s="66"/>
      <c r="R16" s="7"/>
    </row>
    <row r="17" spans="1:18" s="45" customFormat="1" ht="14.25" thickBot="1" x14ac:dyDescent="0.3">
      <c r="A17" s="84"/>
      <c r="B17" s="85" t="s">
        <v>25</v>
      </c>
      <c r="C17" s="86"/>
      <c r="D17" s="86"/>
      <c r="E17" s="87"/>
      <c r="F17" s="87"/>
      <c r="G17" s="88">
        <f>SUM(G9:G15)</f>
        <v>7594.5428682749898</v>
      </c>
      <c r="H17" s="89"/>
      <c r="I17" s="88">
        <f t="shared" ref="I17:N17" si="0">SUM(I9:I15)</f>
        <v>1526.3513430564094</v>
      </c>
      <c r="J17" s="88">
        <f t="shared" si="0"/>
        <v>3080.2064641693173</v>
      </c>
      <c r="K17" s="88">
        <f t="shared" si="0"/>
        <v>50.339109396381431</v>
      </c>
      <c r="L17" s="88">
        <f t="shared" si="0"/>
        <v>1742.8825059963815</v>
      </c>
      <c r="M17" s="88">
        <f t="shared" si="0"/>
        <v>51.788795890693258</v>
      </c>
      <c r="N17" s="90">
        <f t="shared" si="0"/>
        <v>1142.9746497658068</v>
      </c>
      <c r="O17" s="91"/>
      <c r="P17" s="92"/>
      <c r="Q17" s="93"/>
      <c r="R17" s="35"/>
    </row>
    <row r="18" spans="1:18" s="16" customFormat="1" ht="7.5" customHeight="1" x14ac:dyDescent="0.25">
      <c r="A18" s="65"/>
      <c r="B18" s="66"/>
      <c r="C18" s="67"/>
      <c r="D18" s="66"/>
      <c r="E18" s="68"/>
      <c r="F18" s="68"/>
      <c r="G18" s="83"/>
      <c r="H18" s="70"/>
      <c r="I18" s="83"/>
      <c r="J18" s="83"/>
      <c r="K18" s="83"/>
      <c r="L18" s="83"/>
      <c r="M18" s="83"/>
      <c r="N18" s="83"/>
      <c r="O18" s="72"/>
      <c r="P18" s="73"/>
      <c r="Q18" s="66"/>
      <c r="R18" s="7"/>
    </row>
    <row r="19" spans="1:18" x14ac:dyDescent="0.25">
      <c r="A19" s="65"/>
      <c r="B19" s="67" t="s">
        <v>26</v>
      </c>
      <c r="C19" s="65"/>
      <c r="D19" s="65"/>
      <c r="E19" s="94"/>
      <c r="F19" s="94"/>
      <c r="G19" s="79"/>
      <c r="H19" s="65"/>
      <c r="I19" s="79"/>
      <c r="J19" s="79"/>
      <c r="K19" s="79"/>
      <c r="L19" s="79"/>
      <c r="M19" s="79"/>
      <c r="N19" s="79"/>
      <c r="O19" s="95"/>
      <c r="P19" s="73"/>
      <c r="Q19" s="65"/>
    </row>
    <row r="20" spans="1:18" s="16" customFormat="1" ht="4.5" customHeight="1" x14ac:dyDescent="0.25">
      <c r="A20" s="65"/>
      <c r="B20" s="66"/>
      <c r="C20" s="67"/>
      <c r="D20" s="66"/>
      <c r="E20" s="68"/>
      <c r="F20" s="68"/>
      <c r="G20" s="83"/>
      <c r="H20" s="70"/>
      <c r="I20" s="83"/>
      <c r="J20" s="83"/>
      <c r="K20" s="83"/>
      <c r="L20" s="83"/>
      <c r="M20" s="83"/>
      <c r="N20" s="83"/>
      <c r="O20" s="72"/>
      <c r="P20" s="73"/>
      <c r="Q20" s="66"/>
      <c r="R20" s="7"/>
    </row>
    <row r="21" spans="1:18" x14ac:dyDescent="0.25">
      <c r="A21" s="65"/>
      <c r="B21" s="65"/>
      <c r="C21" s="65"/>
      <c r="D21" s="27"/>
      <c r="E21" s="78"/>
      <c r="F21" s="27"/>
      <c r="G21" s="79"/>
      <c r="H21" s="80"/>
      <c r="I21" s="79"/>
      <c r="J21" s="79"/>
      <c r="K21" s="79"/>
      <c r="L21" s="79"/>
      <c r="M21" s="79"/>
      <c r="N21" s="79"/>
      <c r="O21" s="72"/>
      <c r="P21" s="73"/>
      <c r="Q21" s="82"/>
      <c r="R21" s="31"/>
    </row>
    <row r="22" spans="1:18" x14ac:dyDescent="0.25">
      <c r="A22" s="65"/>
      <c r="B22" s="65"/>
      <c r="C22" s="114" t="s">
        <v>27</v>
      </c>
      <c r="D22" s="27" t="s">
        <v>28</v>
      </c>
      <c r="E22" s="77">
        <v>5.3046210704327315E-2</v>
      </c>
      <c r="F22" s="77" t="s">
        <v>29</v>
      </c>
      <c r="G22" s="79">
        <v>2637.7286867299999</v>
      </c>
      <c r="H22" s="80" t="s">
        <v>30</v>
      </c>
      <c r="I22" s="79">
        <v>368.72881165000035</v>
      </c>
      <c r="J22" s="79">
        <v>-7.7692455499999999</v>
      </c>
      <c r="K22" s="79">
        <v>1164.0947607000001</v>
      </c>
      <c r="L22" s="79">
        <v>-3.4071988799999997</v>
      </c>
      <c r="M22" s="79">
        <v>376.54454906333325</v>
      </c>
      <c r="N22" s="79">
        <v>739.53700974666651</v>
      </c>
      <c r="O22" s="72"/>
      <c r="P22" s="73"/>
      <c r="Q22" s="82"/>
      <c r="R22" s="31"/>
    </row>
    <row r="23" spans="1:18" x14ac:dyDescent="0.25">
      <c r="A23" s="65"/>
      <c r="B23" s="65"/>
      <c r="C23" s="114" t="s">
        <v>31</v>
      </c>
      <c r="D23" s="27" t="s">
        <v>32</v>
      </c>
      <c r="E23" s="77">
        <v>1.0346617497987529</v>
      </c>
      <c r="F23" s="77" t="s">
        <v>33</v>
      </c>
      <c r="G23" s="79">
        <v>803.69422075000011</v>
      </c>
      <c r="H23" s="80">
        <v>2027</v>
      </c>
      <c r="I23" s="79">
        <v>443.69422075000011</v>
      </c>
      <c r="J23" s="79">
        <v>360</v>
      </c>
      <c r="K23" s="79">
        <v>0</v>
      </c>
      <c r="L23" s="79">
        <v>0</v>
      </c>
      <c r="M23" s="79">
        <v>0</v>
      </c>
      <c r="N23" s="79">
        <v>0</v>
      </c>
      <c r="O23" s="72"/>
      <c r="P23" s="73"/>
      <c r="Q23" s="82"/>
      <c r="R23" s="31"/>
    </row>
    <row r="24" spans="1:18" x14ac:dyDescent="0.25">
      <c r="A24" s="65"/>
      <c r="B24" s="65"/>
      <c r="C24" s="114" t="s">
        <v>34</v>
      </c>
      <c r="D24" s="27" t="s">
        <v>32</v>
      </c>
      <c r="E24" s="77">
        <v>1.0099699547649528E-2</v>
      </c>
      <c r="F24" s="77" t="s">
        <v>33</v>
      </c>
      <c r="G24" s="79">
        <v>2514.3770076701235</v>
      </c>
      <c r="H24" s="80" t="s">
        <v>71</v>
      </c>
      <c r="I24" s="79">
        <v>90.658726874891727</v>
      </c>
      <c r="J24" s="79">
        <v>730.57205074748413</v>
      </c>
      <c r="K24" s="79">
        <v>433.41099008027197</v>
      </c>
      <c r="L24" s="79">
        <v>278.98811645667524</v>
      </c>
      <c r="M24" s="79">
        <v>-0.71592942239985335</v>
      </c>
      <c r="N24" s="79">
        <v>981.46305293320006</v>
      </c>
      <c r="O24" s="72"/>
      <c r="P24" s="73"/>
      <c r="Q24" s="82"/>
      <c r="R24" s="31"/>
    </row>
    <row r="25" spans="1:18" x14ac:dyDescent="0.25">
      <c r="A25" s="65"/>
      <c r="B25" s="65"/>
      <c r="C25" s="114" t="s">
        <v>37</v>
      </c>
      <c r="D25" s="27" t="s">
        <v>28</v>
      </c>
      <c r="E25" s="77">
        <v>5.0746520440111513E-2</v>
      </c>
      <c r="F25" s="77" t="s">
        <v>85</v>
      </c>
      <c r="G25" s="79">
        <v>1129.1668051221855</v>
      </c>
      <c r="H25" s="80" t="s">
        <v>73</v>
      </c>
      <c r="I25" s="79">
        <v>95.333349225436677</v>
      </c>
      <c r="J25" s="79">
        <v>-3.2355615773403459</v>
      </c>
      <c r="K25" s="79">
        <v>573.77621953829805</v>
      </c>
      <c r="L25" s="79">
        <v>279.45001886433545</v>
      </c>
      <c r="M25" s="79">
        <v>32.889304452576667</v>
      </c>
      <c r="N25" s="79">
        <v>150.95347461887891</v>
      </c>
      <c r="O25" s="72"/>
      <c r="P25" s="73"/>
      <c r="Q25" s="82"/>
      <c r="R25" s="31"/>
    </row>
    <row r="26" spans="1:18" x14ac:dyDescent="0.25">
      <c r="A26" s="65"/>
      <c r="B26" s="65"/>
      <c r="C26" s="114" t="s">
        <v>39</v>
      </c>
      <c r="D26" s="27" t="s">
        <v>40</v>
      </c>
      <c r="E26" s="77">
        <v>0.11169999999999999</v>
      </c>
      <c r="F26" s="77" t="s">
        <v>41</v>
      </c>
      <c r="G26" s="79">
        <v>508.47169601999997</v>
      </c>
      <c r="H26" s="80">
        <v>2027</v>
      </c>
      <c r="I26" s="79">
        <v>2.8728733699999225</v>
      </c>
      <c r="J26" s="79">
        <v>505.59882265000005</v>
      </c>
      <c r="K26" s="79">
        <v>0</v>
      </c>
      <c r="L26" s="79">
        <v>0</v>
      </c>
      <c r="M26" s="79">
        <v>0</v>
      </c>
      <c r="N26" s="79">
        <v>0</v>
      </c>
      <c r="O26" s="72"/>
      <c r="P26" s="73"/>
      <c r="Q26" s="82"/>
      <c r="R26" s="31"/>
    </row>
    <row r="27" spans="1:18" x14ac:dyDescent="0.25">
      <c r="A27" s="65"/>
      <c r="B27" s="65"/>
      <c r="C27" s="114" t="s">
        <v>42</v>
      </c>
      <c r="D27" s="27" t="s">
        <v>35</v>
      </c>
      <c r="E27" s="77">
        <v>9.1999999999999998E-3</v>
      </c>
      <c r="F27" s="77" t="s">
        <v>33</v>
      </c>
      <c r="G27" s="79">
        <v>527.37203838000005</v>
      </c>
      <c r="H27" s="80">
        <v>2027</v>
      </c>
      <c r="I27" s="79">
        <v>27.372038380000049</v>
      </c>
      <c r="J27" s="79">
        <v>500</v>
      </c>
      <c r="K27" s="79">
        <v>0</v>
      </c>
      <c r="L27" s="79">
        <v>0</v>
      </c>
      <c r="M27" s="79">
        <v>0</v>
      </c>
      <c r="N27" s="79">
        <v>0</v>
      </c>
      <c r="O27" s="72"/>
      <c r="P27" s="73"/>
      <c r="Q27" s="82"/>
      <c r="R27" s="31"/>
    </row>
    <row r="28" spans="1:18" x14ac:dyDescent="0.25">
      <c r="A28" s="65"/>
      <c r="B28" s="65"/>
      <c r="C28" s="114" t="s">
        <v>43</v>
      </c>
      <c r="D28" s="27" t="s">
        <v>35</v>
      </c>
      <c r="E28" s="77">
        <v>7.000000000000001E-3</v>
      </c>
      <c r="F28" s="77" t="s">
        <v>33</v>
      </c>
      <c r="G28" s="79">
        <v>495.24539611999995</v>
      </c>
      <c r="H28" s="80">
        <v>2027</v>
      </c>
      <c r="I28" s="79">
        <v>5.1680116699999417</v>
      </c>
      <c r="J28" s="79">
        <v>490.07738445000001</v>
      </c>
      <c r="K28" s="79">
        <v>0</v>
      </c>
      <c r="L28" s="79">
        <v>0</v>
      </c>
      <c r="M28" s="79">
        <v>0</v>
      </c>
      <c r="N28" s="79">
        <v>0</v>
      </c>
      <c r="O28" s="72"/>
      <c r="P28" s="73"/>
      <c r="Q28" s="82"/>
      <c r="R28" s="31"/>
    </row>
    <row r="29" spans="1:18" x14ac:dyDescent="0.25">
      <c r="A29" s="65"/>
      <c r="B29" s="65"/>
      <c r="C29" s="114" t="s">
        <v>44</v>
      </c>
      <c r="D29" s="27" t="s">
        <v>32</v>
      </c>
      <c r="E29" s="77">
        <v>1.0900000000000001</v>
      </c>
      <c r="F29" s="77" t="s">
        <v>33</v>
      </c>
      <c r="G29" s="79">
        <v>206.59445647000001</v>
      </c>
      <c r="H29" s="80" t="s">
        <v>45</v>
      </c>
      <c r="I29" s="79">
        <v>106.59445647000001</v>
      </c>
      <c r="J29" s="79">
        <v>100</v>
      </c>
      <c r="K29" s="79">
        <v>0</v>
      </c>
      <c r="L29" s="79">
        <v>0</v>
      </c>
      <c r="M29" s="79">
        <v>0</v>
      </c>
      <c r="N29" s="79">
        <v>0</v>
      </c>
      <c r="O29" s="72"/>
      <c r="P29" s="73"/>
      <c r="Q29" s="82"/>
      <c r="R29" s="31"/>
    </row>
    <row r="30" spans="1:18" x14ac:dyDescent="0.25">
      <c r="A30" s="65"/>
      <c r="B30" s="65"/>
      <c r="C30" s="114" t="s">
        <v>48</v>
      </c>
      <c r="D30" s="77" t="s">
        <v>49</v>
      </c>
      <c r="E30" s="77">
        <v>0.01</v>
      </c>
      <c r="F30" s="77" t="s">
        <v>33</v>
      </c>
      <c r="G30" s="79">
        <v>28.297277140838656</v>
      </c>
      <c r="H30" s="80" t="s">
        <v>30</v>
      </c>
      <c r="I30" s="79">
        <v>0.25316335999999851</v>
      </c>
      <c r="J30" s="79">
        <v>5.0989297783343011</v>
      </c>
      <c r="K30" s="79">
        <v>5.0989297783343011</v>
      </c>
      <c r="L30" s="79">
        <v>5.0989297783343011</v>
      </c>
      <c r="M30" s="79">
        <v>5.0989297783343011</v>
      </c>
      <c r="N30" s="79">
        <v>7.648394667501452</v>
      </c>
      <c r="O30" s="72"/>
      <c r="P30" s="73"/>
      <c r="Q30" s="82"/>
      <c r="R30" s="31"/>
    </row>
    <row r="31" spans="1:18" x14ac:dyDescent="0.25">
      <c r="A31" s="65"/>
      <c r="B31" s="65"/>
      <c r="C31" s="114" t="s">
        <v>74</v>
      </c>
      <c r="D31" s="77" t="s">
        <v>28</v>
      </c>
      <c r="E31" s="77">
        <v>2.9337999999999999E-2</v>
      </c>
      <c r="F31" s="77">
        <v>0.69532900909707118</v>
      </c>
      <c r="G31" s="79">
        <v>189.73906219999998</v>
      </c>
      <c r="H31" s="80" t="s">
        <v>52</v>
      </c>
      <c r="I31" s="79">
        <v>2.4567026882692744</v>
      </c>
      <c r="J31" s="79">
        <v>-0.1084318679638009</v>
      </c>
      <c r="K31" s="79">
        <v>-0.1084318679638009</v>
      </c>
      <c r="L31" s="79">
        <v>13.128259872985485</v>
      </c>
      <c r="M31" s="79">
        <v>14.331595485799053</v>
      </c>
      <c r="N31" s="79">
        <v>160.03936788887376</v>
      </c>
      <c r="O31" s="72"/>
      <c r="P31" s="73"/>
      <c r="Q31" s="82"/>
      <c r="R31" s="31"/>
    </row>
    <row r="32" spans="1:18" x14ac:dyDescent="0.25">
      <c r="A32" s="65"/>
      <c r="B32" s="65"/>
      <c r="C32" s="114" t="s">
        <v>75</v>
      </c>
      <c r="D32" s="77" t="s">
        <v>28</v>
      </c>
      <c r="E32" s="77">
        <v>3.1460000000000002E-2</v>
      </c>
      <c r="F32" s="77">
        <v>0.70799999999999996</v>
      </c>
      <c r="G32" s="79">
        <v>83.625101999999998</v>
      </c>
      <c r="H32" s="80" t="s">
        <v>76</v>
      </c>
      <c r="I32" s="79">
        <v>0.24556037000003528</v>
      </c>
      <c r="J32" s="79">
        <v>-0.13057000771564231</v>
      </c>
      <c r="K32" s="79">
        <v>6.0885625486146324</v>
      </c>
      <c r="L32" s="79">
        <v>9.1981288267797687</v>
      </c>
      <c r="M32" s="79">
        <v>9.1981288267797687</v>
      </c>
      <c r="N32" s="79">
        <v>59.025291435541448</v>
      </c>
      <c r="O32" s="72"/>
      <c r="P32" s="73"/>
      <c r="Q32" s="82"/>
      <c r="R32" s="31"/>
    </row>
    <row r="33" spans="1:20" x14ac:dyDescent="0.25">
      <c r="A33" s="65"/>
      <c r="B33" s="65"/>
      <c r="C33" s="114" t="s">
        <v>86</v>
      </c>
      <c r="D33" s="77" t="s">
        <v>40</v>
      </c>
      <c r="E33" s="77">
        <v>9.3999999999999986E-2</v>
      </c>
      <c r="F33" s="77" t="s">
        <v>33</v>
      </c>
      <c r="G33" s="79">
        <v>23.446176099999995</v>
      </c>
      <c r="H33" s="80" t="s">
        <v>77</v>
      </c>
      <c r="I33" s="79">
        <v>1.9490200199999954</v>
      </c>
      <c r="J33" s="79">
        <v>1.5923819318518517</v>
      </c>
      <c r="K33" s="79">
        <v>1.5923819318518517</v>
      </c>
      <c r="L33" s="79">
        <v>1.5923819318518517</v>
      </c>
      <c r="M33" s="79">
        <v>1.5923819318518517</v>
      </c>
      <c r="N33" s="79">
        <v>15.127628352592593</v>
      </c>
      <c r="O33" s="72"/>
      <c r="P33" s="73"/>
      <c r="Q33" s="82"/>
      <c r="R33" s="31"/>
    </row>
    <row r="34" spans="1:20" x14ac:dyDescent="0.25">
      <c r="A34" s="65"/>
      <c r="B34" s="65"/>
      <c r="C34" s="114" t="s">
        <v>87</v>
      </c>
      <c r="D34" s="77" t="s">
        <v>40</v>
      </c>
      <c r="E34" s="77">
        <v>0.14580000000000001</v>
      </c>
      <c r="F34" s="77" t="s">
        <v>79</v>
      </c>
      <c r="G34" s="79">
        <v>533.40186271000005</v>
      </c>
      <c r="H34" s="80" t="s">
        <v>88</v>
      </c>
      <c r="I34" s="79">
        <v>33.401862710000046</v>
      </c>
      <c r="J34" s="79">
        <v>0</v>
      </c>
      <c r="K34" s="79">
        <v>500</v>
      </c>
      <c r="L34" s="79">
        <v>0</v>
      </c>
      <c r="M34" s="79">
        <v>0</v>
      </c>
      <c r="N34" s="79">
        <v>0</v>
      </c>
      <c r="O34" s="72"/>
      <c r="P34" s="73"/>
      <c r="Q34" s="82"/>
      <c r="R34" s="31"/>
    </row>
    <row r="35" spans="1:20" x14ac:dyDescent="0.25">
      <c r="A35" s="65"/>
      <c r="B35" s="65"/>
      <c r="C35" s="65"/>
      <c r="D35" s="77"/>
      <c r="E35" s="77"/>
      <c r="F35" s="77"/>
      <c r="G35" s="79"/>
      <c r="H35" s="80"/>
      <c r="I35" s="79"/>
      <c r="J35" s="79"/>
      <c r="K35" s="79"/>
      <c r="L35" s="79"/>
      <c r="M35" s="79"/>
      <c r="N35" s="79"/>
      <c r="O35" s="72"/>
      <c r="P35" s="73"/>
      <c r="Q35" s="82"/>
      <c r="R35" s="31"/>
    </row>
    <row r="36" spans="1:20" s="16" customFormat="1" ht="4.5" customHeight="1" thickBot="1" x14ac:dyDescent="0.3">
      <c r="A36" s="65"/>
      <c r="B36" s="66"/>
      <c r="C36" s="67"/>
      <c r="D36" s="66"/>
      <c r="E36" s="68"/>
      <c r="F36" s="68"/>
      <c r="G36" s="83"/>
      <c r="H36" s="70"/>
      <c r="I36" s="83"/>
      <c r="J36" s="83"/>
      <c r="K36" s="83"/>
      <c r="L36" s="83"/>
      <c r="M36" s="83"/>
      <c r="N36" s="83"/>
      <c r="O36" s="72"/>
      <c r="P36" s="73"/>
      <c r="Q36" s="66"/>
      <c r="R36" s="7"/>
    </row>
    <row r="37" spans="1:20" s="45" customFormat="1" ht="14.25" thickBot="1" x14ac:dyDescent="0.3">
      <c r="A37" s="84"/>
      <c r="B37" s="85" t="s">
        <v>53</v>
      </c>
      <c r="C37" s="86"/>
      <c r="D37" s="86"/>
      <c r="E37" s="87"/>
      <c r="F37" s="87"/>
      <c r="G37" s="88">
        <f>SUM(G21:G35)</f>
        <v>9681.1597874131476</v>
      </c>
      <c r="H37" s="89"/>
      <c r="I37" s="88">
        <f t="shared" ref="I37:N37" si="1">SUM(I21:I35)</f>
        <v>1178.7287975385984</v>
      </c>
      <c r="J37" s="88">
        <f t="shared" si="1"/>
        <v>2681.6957605546509</v>
      </c>
      <c r="K37" s="88">
        <f t="shared" si="1"/>
        <v>2683.9534127094075</v>
      </c>
      <c r="L37" s="88">
        <f t="shared" si="1"/>
        <v>584.04863685096211</v>
      </c>
      <c r="M37" s="88">
        <f t="shared" si="1"/>
        <v>438.93896011627498</v>
      </c>
      <c r="N37" s="90">
        <f t="shared" si="1"/>
        <v>2113.7942196432546</v>
      </c>
      <c r="O37" s="91"/>
      <c r="P37" s="92"/>
      <c r="Q37" s="93"/>
      <c r="R37" s="35"/>
    </row>
    <row r="38" spans="1:20" s="16" customFormat="1" ht="4.5" customHeight="1" x14ac:dyDescent="0.25">
      <c r="A38" s="65"/>
      <c r="B38" s="66"/>
      <c r="C38" s="67"/>
      <c r="D38" s="66"/>
      <c r="E38" s="68"/>
      <c r="F38" s="68"/>
      <c r="G38" s="83"/>
      <c r="H38" s="70"/>
      <c r="I38" s="83"/>
      <c r="J38" s="83"/>
      <c r="K38" s="83"/>
      <c r="L38" s="83"/>
      <c r="M38" s="83"/>
      <c r="N38" s="83"/>
      <c r="O38" s="72"/>
      <c r="P38" s="73"/>
      <c r="Q38" s="66"/>
      <c r="R38" s="7"/>
    </row>
    <row r="39" spans="1:20" s="16" customFormat="1" x14ac:dyDescent="0.25">
      <c r="A39" s="66"/>
      <c r="B39" s="66"/>
      <c r="C39" s="65" t="s">
        <v>54</v>
      </c>
      <c r="D39" s="66"/>
      <c r="E39" s="70"/>
      <c r="F39" s="70"/>
      <c r="G39" s="79">
        <v>581.98905373000014</v>
      </c>
      <c r="H39" s="66"/>
      <c r="I39" s="79">
        <v>205.53888330000007</v>
      </c>
      <c r="J39" s="79">
        <v>63.774901450000058</v>
      </c>
      <c r="K39" s="79">
        <v>0</v>
      </c>
      <c r="L39" s="79">
        <v>274.33310238000001</v>
      </c>
      <c r="M39" s="79">
        <v>0</v>
      </c>
      <c r="N39" s="79">
        <v>38.342166599999999</v>
      </c>
      <c r="O39" s="95"/>
      <c r="P39" s="99"/>
      <c r="Q39" s="66"/>
      <c r="R39" s="7"/>
      <c r="S39" s="7"/>
      <c r="T39" s="7"/>
    </row>
    <row r="40" spans="1:20" s="16" customFormat="1" ht="4.5" customHeight="1" thickBot="1" x14ac:dyDescent="0.3">
      <c r="A40" s="65"/>
      <c r="B40" s="66"/>
      <c r="C40" s="67"/>
      <c r="D40" s="66"/>
      <c r="E40" s="68"/>
      <c r="F40" s="68"/>
      <c r="G40" s="83"/>
      <c r="H40" s="70"/>
      <c r="I40" s="83"/>
      <c r="J40" s="83"/>
      <c r="K40" s="83"/>
      <c r="L40" s="83"/>
      <c r="M40" s="83"/>
      <c r="N40" s="83"/>
      <c r="O40" s="72"/>
      <c r="P40" s="73"/>
      <c r="Q40" s="66"/>
      <c r="R40" s="7"/>
    </row>
    <row r="41" spans="1:20" s="45" customFormat="1" ht="14.25" thickBot="1" x14ac:dyDescent="0.3">
      <c r="A41" s="84"/>
      <c r="B41" s="85" t="s">
        <v>55</v>
      </c>
      <c r="C41" s="86"/>
      <c r="D41" s="86"/>
      <c r="E41" s="87"/>
      <c r="F41" s="87"/>
      <c r="G41" s="88">
        <f>G39+G37+G17</f>
        <v>17857.691709418137</v>
      </c>
      <c r="H41" s="89"/>
      <c r="I41" s="88">
        <f t="shared" ref="I41:N41" si="2">+I17+I37+I39</f>
        <v>2910.619023895008</v>
      </c>
      <c r="J41" s="88">
        <f t="shared" si="2"/>
        <v>5825.6771261739686</v>
      </c>
      <c r="K41" s="88">
        <f t="shared" si="2"/>
        <v>2734.292522105789</v>
      </c>
      <c r="L41" s="88">
        <f t="shared" si="2"/>
        <v>2601.264245227344</v>
      </c>
      <c r="M41" s="88">
        <f t="shared" si="2"/>
        <v>490.72775600696826</v>
      </c>
      <c r="N41" s="90">
        <f t="shared" si="2"/>
        <v>3295.1110360090611</v>
      </c>
      <c r="O41" s="91"/>
      <c r="P41" s="92"/>
      <c r="Q41" s="93"/>
      <c r="R41" s="35"/>
    </row>
    <row r="42" spans="1:20" s="16" customFormat="1" ht="6" customHeight="1" x14ac:dyDescent="0.25">
      <c r="A42" s="66"/>
      <c r="B42" s="67"/>
      <c r="C42" s="66"/>
      <c r="D42" s="66"/>
      <c r="E42" s="70"/>
      <c r="F42" s="70"/>
      <c r="G42" s="83"/>
      <c r="H42" s="66"/>
      <c r="I42" s="83"/>
      <c r="J42" s="83"/>
      <c r="K42" s="83"/>
      <c r="L42" s="83"/>
      <c r="M42" s="83"/>
      <c r="N42" s="83"/>
      <c r="O42" s="95"/>
      <c r="P42" s="99"/>
      <c r="Q42" s="66"/>
      <c r="R42" s="7"/>
      <c r="S42" s="7"/>
      <c r="T42" s="7"/>
    </row>
    <row r="43" spans="1:20" s="56" customFormat="1" x14ac:dyDescent="0.25">
      <c r="A43" s="101"/>
      <c r="B43" s="101"/>
      <c r="C43" s="102" t="s">
        <v>56</v>
      </c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3"/>
      <c r="P43" s="101"/>
      <c r="Q43" s="101"/>
    </row>
    <row r="44" spans="1:20" s="56" customFormat="1" ht="14.25" customHeight="1" x14ac:dyDescent="0.25">
      <c r="A44" s="101"/>
      <c r="B44" s="104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5"/>
      <c r="P44" s="101"/>
      <c r="Q44" s="101"/>
    </row>
    <row r="45" spans="1:20" s="56" customFormat="1" ht="14.25" customHeight="1" x14ac:dyDescent="0.25">
      <c r="A45" s="101"/>
      <c r="B45" s="104"/>
      <c r="C45" s="106" t="s">
        <v>80</v>
      </c>
      <c r="D45" s="107"/>
      <c r="E45" s="107"/>
      <c r="F45" s="107"/>
      <c r="G45" s="108"/>
      <c r="H45" s="107"/>
      <c r="I45" s="107"/>
      <c r="J45" s="107"/>
      <c r="K45" s="107"/>
      <c r="L45" s="107"/>
      <c r="M45" s="107"/>
      <c r="N45" s="107"/>
      <c r="O45" s="105"/>
      <c r="P45" s="101"/>
      <c r="Q45" s="101"/>
    </row>
    <row r="46" spans="1:20" s="56" customFormat="1" ht="14.25" customHeight="1" x14ac:dyDescent="0.25">
      <c r="A46" s="101"/>
      <c r="B46" s="104"/>
      <c r="C46" s="106"/>
      <c r="D46" s="107"/>
      <c r="E46" s="107"/>
      <c r="F46" s="107"/>
      <c r="G46" s="108"/>
      <c r="H46" s="107"/>
      <c r="I46" s="109"/>
      <c r="J46" s="109"/>
      <c r="K46" s="109"/>
      <c r="L46" s="109"/>
      <c r="M46" s="109"/>
      <c r="N46" s="109"/>
      <c r="O46" s="105"/>
      <c r="P46" s="101"/>
      <c r="Q46" s="101"/>
    </row>
    <row r="47" spans="1:20" s="56" customFormat="1" ht="14.25" customHeight="1" x14ac:dyDescent="0.25">
      <c r="A47" s="101"/>
      <c r="B47" s="104"/>
      <c r="C47" s="110"/>
      <c r="D47" s="107"/>
      <c r="E47" s="107"/>
      <c r="F47" s="107"/>
      <c r="G47" s="108"/>
      <c r="H47" s="107"/>
      <c r="I47" s="107"/>
      <c r="J47" s="107"/>
      <c r="K47" s="107"/>
      <c r="L47" s="107"/>
      <c r="M47" s="107"/>
      <c r="N47" s="107"/>
      <c r="O47" s="105"/>
      <c r="P47" s="101"/>
      <c r="Q47" s="101"/>
    </row>
    <row r="48" spans="1:20" s="56" customFormat="1" ht="14.25" customHeight="1" x14ac:dyDescent="0.25">
      <c r="A48" s="101"/>
      <c r="B48" s="104"/>
      <c r="C48" s="106"/>
      <c r="D48" s="107"/>
      <c r="E48" s="107"/>
      <c r="F48" s="107"/>
      <c r="G48" s="108"/>
      <c r="H48" s="107"/>
      <c r="I48" s="101"/>
      <c r="J48" s="107"/>
      <c r="K48" s="107"/>
      <c r="L48" s="107"/>
      <c r="M48" s="107"/>
      <c r="N48" s="107"/>
      <c r="O48" s="105"/>
      <c r="P48" s="101"/>
      <c r="Q48" s="101"/>
    </row>
    <row r="49" spans="1:17" s="56" customFormat="1" ht="14.25" customHeight="1" x14ac:dyDescent="0.25">
      <c r="A49" s="101"/>
      <c r="B49" s="104"/>
      <c r="C49" s="106"/>
      <c r="D49" s="107"/>
      <c r="E49" s="107"/>
      <c r="F49" s="107"/>
      <c r="G49" s="108"/>
      <c r="H49" s="107"/>
      <c r="I49" s="107"/>
      <c r="J49" s="107"/>
      <c r="K49" s="107"/>
      <c r="L49" s="107"/>
      <c r="M49" s="107"/>
      <c r="N49" s="107"/>
      <c r="O49" s="105"/>
      <c r="P49" s="101"/>
      <c r="Q49" s="101"/>
    </row>
    <row r="50" spans="1:17" s="56" customFormat="1" ht="14.25" customHeight="1" x14ac:dyDescent="0.25">
      <c r="A50" s="101"/>
      <c r="B50" s="104"/>
      <c r="C50" s="106"/>
      <c r="D50" s="107"/>
      <c r="E50" s="107"/>
      <c r="F50" s="107"/>
      <c r="G50" s="108"/>
      <c r="H50" s="107"/>
      <c r="I50" s="107"/>
      <c r="J50" s="107"/>
      <c r="K50" s="107"/>
      <c r="L50" s="107"/>
      <c r="M50" s="107"/>
      <c r="N50" s="107"/>
      <c r="O50" s="105"/>
      <c r="P50" s="101"/>
      <c r="Q50" s="101"/>
    </row>
    <row r="51" spans="1:17" x14ac:dyDescent="0.25">
      <c r="A51" s="65"/>
      <c r="B51" s="65"/>
      <c r="C51" s="65"/>
      <c r="D51" s="65"/>
      <c r="E51" s="65"/>
      <c r="F51" s="65"/>
      <c r="G51" s="111"/>
      <c r="H51" s="65"/>
      <c r="I51" s="65"/>
      <c r="J51" s="65"/>
      <c r="K51" s="65"/>
      <c r="L51" s="65"/>
      <c r="M51" s="65"/>
      <c r="N51" s="65"/>
      <c r="O51" s="72"/>
      <c r="P51" s="65"/>
      <c r="Q51" s="65"/>
    </row>
    <row r="52" spans="1:17" x14ac:dyDescent="0.25">
      <c r="A52" s="65"/>
      <c r="B52" s="65"/>
      <c r="C52" s="65"/>
      <c r="D52" s="65"/>
      <c r="E52" s="65"/>
      <c r="F52" s="65"/>
      <c r="G52" s="111"/>
      <c r="H52" s="65"/>
      <c r="I52" s="65"/>
      <c r="J52" s="65"/>
      <c r="K52" s="65"/>
      <c r="L52" s="65"/>
      <c r="M52" s="65"/>
      <c r="N52" s="65"/>
      <c r="O52" s="72"/>
      <c r="P52" s="65"/>
      <c r="Q52" s="65"/>
    </row>
    <row r="53" spans="1:17" x14ac:dyDescent="0.25">
      <c r="A53" s="65"/>
      <c r="B53" s="65"/>
      <c r="C53" s="65"/>
      <c r="D53" s="65"/>
      <c r="E53" s="65"/>
      <c r="F53" s="65"/>
      <c r="G53" s="111"/>
      <c r="H53" s="65"/>
      <c r="I53" s="65"/>
      <c r="J53" s="65"/>
      <c r="K53" s="65"/>
      <c r="L53" s="65"/>
      <c r="M53" s="65"/>
      <c r="N53" s="65"/>
      <c r="O53" s="72"/>
      <c r="P53" s="65"/>
      <c r="Q53" s="65"/>
    </row>
    <row r="54" spans="1:17" x14ac:dyDescent="0.25">
      <c r="A54" s="65"/>
      <c r="B54" s="65"/>
      <c r="C54" s="65"/>
      <c r="D54" s="65"/>
      <c r="E54" s="65"/>
      <c r="F54" s="65"/>
      <c r="G54" s="111"/>
      <c r="H54" s="65"/>
      <c r="I54" s="65"/>
      <c r="J54" s="65"/>
      <c r="K54" s="65"/>
      <c r="L54" s="65"/>
      <c r="M54" s="65"/>
      <c r="N54" s="65"/>
      <c r="O54" s="72"/>
      <c r="P54" s="65"/>
      <c r="Q54" s="65"/>
    </row>
    <row r="66" spans="5:6" x14ac:dyDescent="0.25">
      <c r="E66" s="112"/>
      <c r="F66" s="112"/>
    </row>
  </sheetData>
  <mergeCells count="7">
    <mergeCell ref="C43:N44"/>
    <mergeCell ref="A4:C5"/>
    <mergeCell ref="D4:D5"/>
    <mergeCell ref="E4:E5"/>
    <mergeCell ref="F4:F5"/>
    <mergeCell ref="H4:H5"/>
    <mergeCell ref="I4:N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92E8-D656-4542-B2DC-D77A15147ADA}">
  <dimension ref="A1:T49"/>
  <sheetViews>
    <sheetView tabSelected="1" topLeftCell="A5" workbookViewId="0">
      <selection activeCell="E15" sqref="A14:E15"/>
    </sheetView>
  </sheetViews>
  <sheetFormatPr defaultColWidth="11.42578125" defaultRowHeight="13.5" outlineLevelRow="1" x14ac:dyDescent="0.25"/>
  <cols>
    <col min="1" max="2" width="3" style="7" customWidth="1"/>
    <col min="3" max="3" width="45.42578125" style="7" customWidth="1"/>
    <col min="4" max="4" width="21" style="7" bestFit="1" customWidth="1"/>
    <col min="5" max="6" width="21.28515625" style="7" customWidth="1"/>
    <col min="7" max="7" width="12.7109375" style="3" customWidth="1"/>
    <col min="8" max="8" width="14.7109375" style="7" bestFit="1" customWidth="1"/>
    <col min="9" max="14" width="13.42578125" style="7" customWidth="1"/>
    <col min="15" max="15" width="14" style="63" customWidth="1"/>
    <col min="16" max="16" width="13.5703125" style="7" bestFit="1" customWidth="1"/>
    <col min="17" max="17" width="15.28515625" style="7" bestFit="1" customWidth="1"/>
    <col min="18" max="18" width="12.85546875" style="7" bestFit="1" customWidth="1"/>
    <col min="19" max="256" width="11.42578125" style="7"/>
    <col min="257" max="258" width="3" style="7" customWidth="1"/>
    <col min="259" max="259" width="45.42578125" style="7" customWidth="1"/>
    <col min="260" max="260" width="21" style="7" bestFit="1" customWidth="1"/>
    <col min="261" max="262" width="21.28515625" style="7" customWidth="1"/>
    <col min="263" max="263" width="12.7109375" style="7" customWidth="1"/>
    <col min="264" max="264" width="14.7109375" style="7" bestFit="1" customWidth="1"/>
    <col min="265" max="270" width="13.42578125" style="7" customWidth="1"/>
    <col min="271" max="271" width="14" style="7" customWidth="1"/>
    <col min="272" max="272" width="13.5703125" style="7" bestFit="1" customWidth="1"/>
    <col min="273" max="273" width="15.28515625" style="7" bestFit="1" customWidth="1"/>
    <col min="274" max="274" width="12.85546875" style="7" bestFit="1" customWidth="1"/>
    <col min="275" max="512" width="11.42578125" style="7"/>
    <col min="513" max="514" width="3" style="7" customWidth="1"/>
    <col min="515" max="515" width="45.42578125" style="7" customWidth="1"/>
    <col min="516" max="516" width="21" style="7" bestFit="1" customWidth="1"/>
    <col min="517" max="518" width="21.28515625" style="7" customWidth="1"/>
    <col min="519" max="519" width="12.7109375" style="7" customWidth="1"/>
    <col min="520" max="520" width="14.7109375" style="7" bestFit="1" customWidth="1"/>
    <col min="521" max="526" width="13.42578125" style="7" customWidth="1"/>
    <col min="527" max="527" width="14" style="7" customWidth="1"/>
    <col min="528" max="528" width="13.5703125" style="7" bestFit="1" customWidth="1"/>
    <col min="529" max="529" width="15.28515625" style="7" bestFit="1" customWidth="1"/>
    <col min="530" max="530" width="12.85546875" style="7" bestFit="1" customWidth="1"/>
    <col min="531" max="768" width="11.42578125" style="7"/>
    <col min="769" max="770" width="3" style="7" customWidth="1"/>
    <col min="771" max="771" width="45.42578125" style="7" customWidth="1"/>
    <col min="772" max="772" width="21" style="7" bestFit="1" customWidth="1"/>
    <col min="773" max="774" width="21.28515625" style="7" customWidth="1"/>
    <col min="775" max="775" width="12.7109375" style="7" customWidth="1"/>
    <col min="776" max="776" width="14.7109375" style="7" bestFit="1" customWidth="1"/>
    <col min="777" max="782" width="13.42578125" style="7" customWidth="1"/>
    <col min="783" max="783" width="14" style="7" customWidth="1"/>
    <col min="784" max="784" width="13.5703125" style="7" bestFit="1" customWidth="1"/>
    <col min="785" max="785" width="15.28515625" style="7" bestFit="1" customWidth="1"/>
    <col min="786" max="786" width="12.85546875" style="7" bestFit="1" customWidth="1"/>
    <col min="787" max="1024" width="11.42578125" style="7"/>
    <col min="1025" max="1026" width="3" style="7" customWidth="1"/>
    <col min="1027" max="1027" width="45.42578125" style="7" customWidth="1"/>
    <col min="1028" max="1028" width="21" style="7" bestFit="1" customWidth="1"/>
    <col min="1029" max="1030" width="21.28515625" style="7" customWidth="1"/>
    <col min="1031" max="1031" width="12.7109375" style="7" customWidth="1"/>
    <col min="1032" max="1032" width="14.7109375" style="7" bestFit="1" customWidth="1"/>
    <col min="1033" max="1038" width="13.42578125" style="7" customWidth="1"/>
    <col min="1039" max="1039" width="14" style="7" customWidth="1"/>
    <col min="1040" max="1040" width="13.5703125" style="7" bestFit="1" customWidth="1"/>
    <col min="1041" max="1041" width="15.28515625" style="7" bestFit="1" customWidth="1"/>
    <col min="1042" max="1042" width="12.85546875" style="7" bestFit="1" customWidth="1"/>
    <col min="1043" max="1280" width="11.42578125" style="7"/>
    <col min="1281" max="1282" width="3" style="7" customWidth="1"/>
    <col min="1283" max="1283" width="45.42578125" style="7" customWidth="1"/>
    <col min="1284" max="1284" width="21" style="7" bestFit="1" customWidth="1"/>
    <col min="1285" max="1286" width="21.28515625" style="7" customWidth="1"/>
    <col min="1287" max="1287" width="12.7109375" style="7" customWidth="1"/>
    <col min="1288" max="1288" width="14.7109375" style="7" bestFit="1" customWidth="1"/>
    <col min="1289" max="1294" width="13.42578125" style="7" customWidth="1"/>
    <col min="1295" max="1295" width="14" style="7" customWidth="1"/>
    <col min="1296" max="1296" width="13.5703125" style="7" bestFit="1" customWidth="1"/>
    <col min="1297" max="1297" width="15.28515625" style="7" bestFit="1" customWidth="1"/>
    <col min="1298" max="1298" width="12.85546875" style="7" bestFit="1" customWidth="1"/>
    <col min="1299" max="1536" width="11.42578125" style="7"/>
    <col min="1537" max="1538" width="3" style="7" customWidth="1"/>
    <col min="1539" max="1539" width="45.42578125" style="7" customWidth="1"/>
    <col min="1540" max="1540" width="21" style="7" bestFit="1" customWidth="1"/>
    <col min="1541" max="1542" width="21.28515625" style="7" customWidth="1"/>
    <col min="1543" max="1543" width="12.7109375" style="7" customWidth="1"/>
    <col min="1544" max="1544" width="14.7109375" style="7" bestFit="1" customWidth="1"/>
    <col min="1545" max="1550" width="13.42578125" style="7" customWidth="1"/>
    <col min="1551" max="1551" width="14" style="7" customWidth="1"/>
    <col min="1552" max="1552" width="13.5703125" style="7" bestFit="1" customWidth="1"/>
    <col min="1553" max="1553" width="15.28515625" style="7" bestFit="1" customWidth="1"/>
    <col min="1554" max="1554" width="12.85546875" style="7" bestFit="1" customWidth="1"/>
    <col min="1555" max="1792" width="11.42578125" style="7"/>
    <col min="1793" max="1794" width="3" style="7" customWidth="1"/>
    <col min="1795" max="1795" width="45.42578125" style="7" customWidth="1"/>
    <col min="1796" max="1796" width="21" style="7" bestFit="1" customWidth="1"/>
    <col min="1797" max="1798" width="21.28515625" style="7" customWidth="1"/>
    <col min="1799" max="1799" width="12.7109375" style="7" customWidth="1"/>
    <col min="1800" max="1800" width="14.7109375" style="7" bestFit="1" customWidth="1"/>
    <col min="1801" max="1806" width="13.42578125" style="7" customWidth="1"/>
    <col min="1807" max="1807" width="14" style="7" customWidth="1"/>
    <col min="1808" max="1808" width="13.5703125" style="7" bestFit="1" customWidth="1"/>
    <col min="1809" max="1809" width="15.28515625" style="7" bestFit="1" customWidth="1"/>
    <col min="1810" max="1810" width="12.85546875" style="7" bestFit="1" customWidth="1"/>
    <col min="1811" max="2048" width="11.42578125" style="7"/>
    <col min="2049" max="2050" width="3" style="7" customWidth="1"/>
    <col min="2051" max="2051" width="45.42578125" style="7" customWidth="1"/>
    <col min="2052" max="2052" width="21" style="7" bestFit="1" customWidth="1"/>
    <col min="2053" max="2054" width="21.28515625" style="7" customWidth="1"/>
    <col min="2055" max="2055" width="12.7109375" style="7" customWidth="1"/>
    <col min="2056" max="2056" width="14.7109375" style="7" bestFit="1" customWidth="1"/>
    <col min="2057" max="2062" width="13.42578125" style="7" customWidth="1"/>
    <col min="2063" max="2063" width="14" style="7" customWidth="1"/>
    <col min="2064" max="2064" width="13.5703125" style="7" bestFit="1" customWidth="1"/>
    <col min="2065" max="2065" width="15.28515625" style="7" bestFit="1" customWidth="1"/>
    <col min="2066" max="2066" width="12.85546875" style="7" bestFit="1" customWidth="1"/>
    <col min="2067" max="2304" width="11.42578125" style="7"/>
    <col min="2305" max="2306" width="3" style="7" customWidth="1"/>
    <col min="2307" max="2307" width="45.42578125" style="7" customWidth="1"/>
    <col min="2308" max="2308" width="21" style="7" bestFit="1" customWidth="1"/>
    <col min="2309" max="2310" width="21.28515625" style="7" customWidth="1"/>
    <col min="2311" max="2311" width="12.7109375" style="7" customWidth="1"/>
    <col min="2312" max="2312" width="14.7109375" style="7" bestFit="1" customWidth="1"/>
    <col min="2313" max="2318" width="13.42578125" style="7" customWidth="1"/>
    <col min="2319" max="2319" width="14" style="7" customWidth="1"/>
    <col min="2320" max="2320" width="13.5703125" style="7" bestFit="1" customWidth="1"/>
    <col min="2321" max="2321" width="15.28515625" style="7" bestFit="1" customWidth="1"/>
    <col min="2322" max="2322" width="12.85546875" style="7" bestFit="1" customWidth="1"/>
    <col min="2323" max="2560" width="11.42578125" style="7"/>
    <col min="2561" max="2562" width="3" style="7" customWidth="1"/>
    <col min="2563" max="2563" width="45.42578125" style="7" customWidth="1"/>
    <col min="2564" max="2564" width="21" style="7" bestFit="1" customWidth="1"/>
    <col min="2565" max="2566" width="21.28515625" style="7" customWidth="1"/>
    <col min="2567" max="2567" width="12.7109375" style="7" customWidth="1"/>
    <col min="2568" max="2568" width="14.7109375" style="7" bestFit="1" customWidth="1"/>
    <col min="2569" max="2574" width="13.42578125" style="7" customWidth="1"/>
    <col min="2575" max="2575" width="14" style="7" customWidth="1"/>
    <col min="2576" max="2576" width="13.5703125" style="7" bestFit="1" customWidth="1"/>
    <col min="2577" max="2577" width="15.28515625" style="7" bestFit="1" customWidth="1"/>
    <col min="2578" max="2578" width="12.85546875" style="7" bestFit="1" customWidth="1"/>
    <col min="2579" max="2816" width="11.42578125" style="7"/>
    <col min="2817" max="2818" width="3" style="7" customWidth="1"/>
    <col min="2819" max="2819" width="45.42578125" style="7" customWidth="1"/>
    <col min="2820" max="2820" width="21" style="7" bestFit="1" customWidth="1"/>
    <col min="2821" max="2822" width="21.28515625" style="7" customWidth="1"/>
    <col min="2823" max="2823" width="12.7109375" style="7" customWidth="1"/>
    <col min="2824" max="2824" width="14.7109375" style="7" bestFit="1" customWidth="1"/>
    <col min="2825" max="2830" width="13.42578125" style="7" customWidth="1"/>
    <col min="2831" max="2831" width="14" style="7" customWidth="1"/>
    <col min="2832" max="2832" width="13.5703125" style="7" bestFit="1" customWidth="1"/>
    <col min="2833" max="2833" width="15.28515625" style="7" bestFit="1" customWidth="1"/>
    <col min="2834" max="2834" width="12.85546875" style="7" bestFit="1" customWidth="1"/>
    <col min="2835" max="3072" width="11.42578125" style="7"/>
    <col min="3073" max="3074" width="3" style="7" customWidth="1"/>
    <col min="3075" max="3075" width="45.42578125" style="7" customWidth="1"/>
    <col min="3076" max="3076" width="21" style="7" bestFit="1" customWidth="1"/>
    <col min="3077" max="3078" width="21.28515625" style="7" customWidth="1"/>
    <col min="3079" max="3079" width="12.7109375" style="7" customWidth="1"/>
    <col min="3080" max="3080" width="14.7109375" style="7" bestFit="1" customWidth="1"/>
    <col min="3081" max="3086" width="13.42578125" style="7" customWidth="1"/>
    <col min="3087" max="3087" width="14" style="7" customWidth="1"/>
    <col min="3088" max="3088" width="13.5703125" style="7" bestFit="1" customWidth="1"/>
    <col min="3089" max="3089" width="15.28515625" style="7" bestFit="1" customWidth="1"/>
    <col min="3090" max="3090" width="12.85546875" style="7" bestFit="1" customWidth="1"/>
    <col min="3091" max="3328" width="11.42578125" style="7"/>
    <col min="3329" max="3330" width="3" style="7" customWidth="1"/>
    <col min="3331" max="3331" width="45.42578125" style="7" customWidth="1"/>
    <col min="3332" max="3332" width="21" style="7" bestFit="1" customWidth="1"/>
    <col min="3333" max="3334" width="21.28515625" style="7" customWidth="1"/>
    <col min="3335" max="3335" width="12.7109375" style="7" customWidth="1"/>
    <col min="3336" max="3336" width="14.7109375" style="7" bestFit="1" customWidth="1"/>
    <col min="3337" max="3342" width="13.42578125" style="7" customWidth="1"/>
    <col min="3343" max="3343" width="14" style="7" customWidth="1"/>
    <col min="3344" max="3344" width="13.5703125" style="7" bestFit="1" customWidth="1"/>
    <col min="3345" max="3345" width="15.28515625" style="7" bestFit="1" customWidth="1"/>
    <col min="3346" max="3346" width="12.85546875" style="7" bestFit="1" customWidth="1"/>
    <col min="3347" max="3584" width="11.42578125" style="7"/>
    <col min="3585" max="3586" width="3" style="7" customWidth="1"/>
    <col min="3587" max="3587" width="45.42578125" style="7" customWidth="1"/>
    <col min="3588" max="3588" width="21" style="7" bestFit="1" customWidth="1"/>
    <col min="3589" max="3590" width="21.28515625" style="7" customWidth="1"/>
    <col min="3591" max="3591" width="12.7109375" style="7" customWidth="1"/>
    <col min="3592" max="3592" width="14.7109375" style="7" bestFit="1" customWidth="1"/>
    <col min="3593" max="3598" width="13.42578125" style="7" customWidth="1"/>
    <col min="3599" max="3599" width="14" style="7" customWidth="1"/>
    <col min="3600" max="3600" width="13.5703125" style="7" bestFit="1" customWidth="1"/>
    <col min="3601" max="3601" width="15.28515625" style="7" bestFit="1" customWidth="1"/>
    <col min="3602" max="3602" width="12.85546875" style="7" bestFit="1" customWidth="1"/>
    <col min="3603" max="3840" width="11.42578125" style="7"/>
    <col min="3841" max="3842" width="3" style="7" customWidth="1"/>
    <col min="3843" max="3843" width="45.42578125" style="7" customWidth="1"/>
    <col min="3844" max="3844" width="21" style="7" bestFit="1" customWidth="1"/>
    <col min="3845" max="3846" width="21.28515625" style="7" customWidth="1"/>
    <col min="3847" max="3847" width="12.7109375" style="7" customWidth="1"/>
    <col min="3848" max="3848" width="14.7109375" style="7" bestFit="1" customWidth="1"/>
    <col min="3849" max="3854" width="13.42578125" style="7" customWidth="1"/>
    <col min="3855" max="3855" width="14" style="7" customWidth="1"/>
    <col min="3856" max="3856" width="13.5703125" style="7" bestFit="1" customWidth="1"/>
    <col min="3857" max="3857" width="15.28515625" style="7" bestFit="1" customWidth="1"/>
    <col min="3858" max="3858" width="12.85546875" style="7" bestFit="1" customWidth="1"/>
    <col min="3859" max="4096" width="11.42578125" style="7"/>
    <col min="4097" max="4098" width="3" style="7" customWidth="1"/>
    <col min="4099" max="4099" width="45.42578125" style="7" customWidth="1"/>
    <col min="4100" max="4100" width="21" style="7" bestFit="1" customWidth="1"/>
    <col min="4101" max="4102" width="21.28515625" style="7" customWidth="1"/>
    <col min="4103" max="4103" width="12.7109375" style="7" customWidth="1"/>
    <col min="4104" max="4104" width="14.7109375" style="7" bestFit="1" customWidth="1"/>
    <col min="4105" max="4110" width="13.42578125" style="7" customWidth="1"/>
    <col min="4111" max="4111" width="14" style="7" customWidth="1"/>
    <col min="4112" max="4112" width="13.5703125" style="7" bestFit="1" customWidth="1"/>
    <col min="4113" max="4113" width="15.28515625" style="7" bestFit="1" customWidth="1"/>
    <col min="4114" max="4114" width="12.85546875" style="7" bestFit="1" customWidth="1"/>
    <col min="4115" max="4352" width="11.42578125" style="7"/>
    <col min="4353" max="4354" width="3" style="7" customWidth="1"/>
    <col min="4355" max="4355" width="45.42578125" style="7" customWidth="1"/>
    <col min="4356" max="4356" width="21" style="7" bestFit="1" customWidth="1"/>
    <col min="4357" max="4358" width="21.28515625" style="7" customWidth="1"/>
    <col min="4359" max="4359" width="12.7109375" style="7" customWidth="1"/>
    <col min="4360" max="4360" width="14.7109375" style="7" bestFit="1" customWidth="1"/>
    <col min="4361" max="4366" width="13.42578125" style="7" customWidth="1"/>
    <col min="4367" max="4367" width="14" style="7" customWidth="1"/>
    <col min="4368" max="4368" width="13.5703125" style="7" bestFit="1" customWidth="1"/>
    <col min="4369" max="4369" width="15.28515625" style="7" bestFit="1" customWidth="1"/>
    <col min="4370" max="4370" width="12.85546875" style="7" bestFit="1" customWidth="1"/>
    <col min="4371" max="4608" width="11.42578125" style="7"/>
    <col min="4609" max="4610" width="3" style="7" customWidth="1"/>
    <col min="4611" max="4611" width="45.42578125" style="7" customWidth="1"/>
    <col min="4612" max="4612" width="21" style="7" bestFit="1" customWidth="1"/>
    <col min="4613" max="4614" width="21.28515625" style="7" customWidth="1"/>
    <col min="4615" max="4615" width="12.7109375" style="7" customWidth="1"/>
    <col min="4616" max="4616" width="14.7109375" style="7" bestFit="1" customWidth="1"/>
    <col min="4617" max="4622" width="13.42578125" style="7" customWidth="1"/>
    <col min="4623" max="4623" width="14" style="7" customWidth="1"/>
    <col min="4624" max="4624" width="13.5703125" style="7" bestFit="1" customWidth="1"/>
    <col min="4625" max="4625" width="15.28515625" style="7" bestFit="1" customWidth="1"/>
    <col min="4626" max="4626" width="12.85546875" style="7" bestFit="1" customWidth="1"/>
    <col min="4627" max="4864" width="11.42578125" style="7"/>
    <col min="4865" max="4866" width="3" style="7" customWidth="1"/>
    <col min="4867" max="4867" width="45.42578125" style="7" customWidth="1"/>
    <col min="4868" max="4868" width="21" style="7" bestFit="1" customWidth="1"/>
    <col min="4869" max="4870" width="21.28515625" style="7" customWidth="1"/>
    <col min="4871" max="4871" width="12.7109375" style="7" customWidth="1"/>
    <col min="4872" max="4872" width="14.7109375" style="7" bestFit="1" customWidth="1"/>
    <col min="4873" max="4878" width="13.42578125" style="7" customWidth="1"/>
    <col min="4879" max="4879" width="14" style="7" customWidth="1"/>
    <col min="4880" max="4880" width="13.5703125" style="7" bestFit="1" customWidth="1"/>
    <col min="4881" max="4881" width="15.28515625" style="7" bestFit="1" customWidth="1"/>
    <col min="4882" max="4882" width="12.85546875" style="7" bestFit="1" customWidth="1"/>
    <col min="4883" max="5120" width="11.42578125" style="7"/>
    <col min="5121" max="5122" width="3" style="7" customWidth="1"/>
    <col min="5123" max="5123" width="45.42578125" style="7" customWidth="1"/>
    <col min="5124" max="5124" width="21" style="7" bestFit="1" customWidth="1"/>
    <col min="5125" max="5126" width="21.28515625" style="7" customWidth="1"/>
    <col min="5127" max="5127" width="12.7109375" style="7" customWidth="1"/>
    <col min="5128" max="5128" width="14.7109375" style="7" bestFit="1" customWidth="1"/>
    <col min="5129" max="5134" width="13.42578125" style="7" customWidth="1"/>
    <col min="5135" max="5135" width="14" style="7" customWidth="1"/>
    <col min="5136" max="5136" width="13.5703125" style="7" bestFit="1" customWidth="1"/>
    <col min="5137" max="5137" width="15.28515625" style="7" bestFit="1" customWidth="1"/>
    <col min="5138" max="5138" width="12.85546875" style="7" bestFit="1" customWidth="1"/>
    <col min="5139" max="5376" width="11.42578125" style="7"/>
    <col min="5377" max="5378" width="3" style="7" customWidth="1"/>
    <col min="5379" max="5379" width="45.42578125" style="7" customWidth="1"/>
    <col min="5380" max="5380" width="21" style="7" bestFit="1" customWidth="1"/>
    <col min="5381" max="5382" width="21.28515625" style="7" customWidth="1"/>
    <col min="5383" max="5383" width="12.7109375" style="7" customWidth="1"/>
    <col min="5384" max="5384" width="14.7109375" style="7" bestFit="1" customWidth="1"/>
    <col min="5385" max="5390" width="13.42578125" style="7" customWidth="1"/>
    <col min="5391" max="5391" width="14" style="7" customWidth="1"/>
    <col min="5392" max="5392" width="13.5703125" style="7" bestFit="1" customWidth="1"/>
    <col min="5393" max="5393" width="15.28515625" style="7" bestFit="1" customWidth="1"/>
    <col min="5394" max="5394" width="12.85546875" style="7" bestFit="1" customWidth="1"/>
    <col min="5395" max="5632" width="11.42578125" style="7"/>
    <col min="5633" max="5634" width="3" style="7" customWidth="1"/>
    <col min="5635" max="5635" width="45.42578125" style="7" customWidth="1"/>
    <col min="5636" max="5636" width="21" style="7" bestFit="1" customWidth="1"/>
    <col min="5637" max="5638" width="21.28515625" style="7" customWidth="1"/>
    <col min="5639" max="5639" width="12.7109375" style="7" customWidth="1"/>
    <col min="5640" max="5640" width="14.7109375" style="7" bestFit="1" customWidth="1"/>
    <col min="5641" max="5646" width="13.42578125" style="7" customWidth="1"/>
    <col min="5647" max="5647" width="14" style="7" customWidth="1"/>
    <col min="5648" max="5648" width="13.5703125" style="7" bestFit="1" customWidth="1"/>
    <col min="5649" max="5649" width="15.28515625" style="7" bestFit="1" customWidth="1"/>
    <col min="5650" max="5650" width="12.85546875" style="7" bestFit="1" customWidth="1"/>
    <col min="5651" max="5888" width="11.42578125" style="7"/>
    <col min="5889" max="5890" width="3" style="7" customWidth="1"/>
    <col min="5891" max="5891" width="45.42578125" style="7" customWidth="1"/>
    <col min="5892" max="5892" width="21" style="7" bestFit="1" customWidth="1"/>
    <col min="5893" max="5894" width="21.28515625" style="7" customWidth="1"/>
    <col min="5895" max="5895" width="12.7109375" style="7" customWidth="1"/>
    <col min="5896" max="5896" width="14.7109375" style="7" bestFit="1" customWidth="1"/>
    <col min="5897" max="5902" width="13.42578125" style="7" customWidth="1"/>
    <col min="5903" max="5903" width="14" style="7" customWidth="1"/>
    <col min="5904" max="5904" width="13.5703125" style="7" bestFit="1" customWidth="1"/>
    <col min="5905" max="5905" width="15.28515625" style="7" bestFit="1" customWidth="1"/>
    <col min="5906" max="5906" width="12.85546875" style="7" bestFit="1" customWidth="1"/>
    <col min="5907" max="6144" width="11.42578125" style="7"/>
    <col min="6145" max="6146" width="3" style="7" customWidth="1"/>
    <col min="6147" max="6147" width="45.42578125" style="7" customWidth="1"/>
    <col min="6148" max="6148" width="21" style="7" bestFit="1" customWidth="1"/>
    <col min="6149" max="6150" width="21.28515625" style="7" customWidth="1"/>
    <col min="6151" max="6151" width="12.7109375" style="7" customWidth="1"/>
    <col min="6152" max="6152" width="14.7109375" style="7" bestFit="1" customWidth="1"/>
    <col min="6153" max="6158" width="13.42578125" style="7" customWidth="1"/>
    <col min="6159" max="6159" width="14" style="7" customWidth="1"/>
    <col min="6160" max="6160" width="13.5703125" style="7" bestFit="1" customWidth="1"/>
    <col min="6161" max="6161" width="15.28515625" style="7" bestFit="1" customWidth="1"/>
    <col min="6162" max="6162" width="12.85546875" style="7" bestFit="1" customWidth="1"/>
    <col min="6163" max="6400" width="11.42578125" style="7"/>
    <col min="6401" max="6402" width="3" style="7" customWidth="1"/>
    <col min="6403" max="6403" width="45.42578125" style="7" customWidth="1"/>
    <col min="6404" max="6404" width="21" style="7" bestFit="1" customWidth="1"/>
    <col min="6405" max="6406" width="21.28515625" style="7" customWidth="1"/>
    <col min="6407" max="6407" width="12.7109375" style="7" customWidth="1"/>
    <col min="6408" max="6408" width="14.7109375" style="7" bestFit="1" customWidth="1"/>
    <col min="6409" max="6414" width="13.42578125" style="7" customWidth="1"/>
    <col min="6415" max="6415" width="14" style="7" customWidth="1"/>
    <col min="6416" max="6416" width="13.5703125" style="7" bestFit="1" customWidth="1"/>
    <col min="6417" max="6417" width="15.28515625" style="7" bestFit="1" customWidth="1"/>
    <col min="6418" max="6418" width="12.85546875" style="7" bestFit="1" customWidth="1"/>
    <col min="6419" max="6656" width="11.42578125" style="7"/>
    <col min="6657" max="6658" width="3" style="7" customWidth="1"/>
    <col min="6659" max="6659" width="45.42578125" style="7" customWidth="1"/>
    <col min="6660" max="6660" width="21" style="7" bestFit="1" customWidth="1"/>
    <col min="6661" max="6662" width="21.28515625" style="7" customWidth="1"/>
    <col min="6663" max="6663" width="12.7109375" style="7" customWidth="1"/>
    <col min="6664" max="6664" width="14.7109375" style="7" bestFit="1" customWidth="1"/>
    <col min="6665" max="6670" width="13.42578125" style="7" customWidth="1"/>
    <col min="6671" max="6671" width="14" style="7" customWidth="1"/>
    <col min="6672" max="6672" width="13.5703125" style="7" bestFit="1" customWidth="1"/>
    <col min="6673" max="6673" width="15.28515625" style="7" bestFit="1" customWidth="1"/>
    <col min="6674" max="6674" width="12.85546875" style="7" bestFit="1" customWidth="1"/>
    <col min="6675" max="6912" width="11.42578125" style="7"/>
    <col min="6913" max="6914" width="3" style="7" customWidth="1"/>
    <col min="6915" max="6915" width="45.42578125" style="7" customWidth="1"/>
    <col min="6916" max="6916" width="21" style="7" bestFit="1" customWidth="1"/>
    <col min="6917" max="6918" width="21.28515625" style="7" customWidth="1"/>
    <col min="6919" max="6919" width="12.7109375" style="7" customWidth="1"/>
    <col min="6920" max="6920" width="14.7109375" style="7" bestFit="1" customWidth="1"/>
    <col min="6921" max="6926" width="13.42578125" style="7" customWidth="1"/>
    <col min="6927" max="6927" width="14" style="7" customWidth="1"/>
    <col min="6928" max="6928" width="13.5703125" style="7" bestFit="1" customWidth="1"/>
    <col min="6929" max="6929" width="15.28515625" style="7" bestFit="1" customWidth="1"/>
    <col min="6930" max="6930" width="12.85546875" style="7" bestFit="1" customWidth="1"/>
    <col min="6931" max="7168" width="11.42578125" style="7"/>
    <col min="7169" max="7170" width="3" style="7" customWidth="1"/>
    <col min="7171" max="7171" width="45.42578125" style="7" customWidth="1"/>
    <col min="7172" max="7172" width="21" style="7" bestFit="1" customWidth="1"/>
    <col min="7173" max="7174" width="21.28515625" style="7" customWidth="1"/>
    <col min="7175" max="7175" width="12.7109375" style="7" customWidth="1"/>
    <col min="7176" max="7176" width="14.7109375" style="7" bestFit="1" customWidth="1"/>
    <col min="7177" max="7182" width="13.42578125" style="7" customWidth="1"/>
    <col min="7183" max="7183" width="14" style="7" customWidth="1"/>
    <col min="7184" max="7184" width="13.5703125" style="7" bestFit="1" customWidth="1"/>
    <col min="7185" max="7185" width="15.28515625" style="7" bestFit="1" customWidth="1"/>
    <col min="7186" max="7186" width="12.85546875" style="7" bestFit="1" customWidth="1"/>
    <col min="7187" max="7424" width="11.42578125" style="7"/>
    <col min="7425" max="7426" width="3" style="7" customWidth="1"/>
    <col min="7427" max="7427" width="45.42578125" style="7" customWidth="1"/>
    <col min="7428" max="7428" width="21" style="7" bestFit="1" customWidth="1"/>
    <col min="7429" max="7430" width="21.28515625" style="7" customWidth="1"/>
    <col min="7431" max="7431" width="12.7109375" style="7" customWidth="1"/>
    <col min="7432" max="7432" width="14.7109375" style="7" bestFit="1" customWidth="1"/>
    <col min="7433" max="7438" width="13.42578125" style="7" customWidth="1"/>
    <col min="7439" max="7439" width="14" style="7" customWidth="1"/>
    <col min="7440" max="7440" width="13.5703125" style="7" bestFit="1" customWidth="1"/>
    <col min="7441" max="7441" width="15.28515625" style="7" bestFit="1" customWidth="1"/>
    <col min="7442" max="7442" width="12.85546875" style="7" bestFit="1" customWidth="1"/>
    <col min="7443" max="7680" width="11.42578125" style="7"/>
    <col min="7681" max="7682" width="3" style="7" customWidth="1"/>
    <col min="7683" max="7683" width="45.42578125" style="7" customWidth="1"/>
    <col min="7684" max="7684" width="21" style="7" bestFit="1" customWidth="1"/>
    <col min="7685" max="7686" width="21.28515625" style="7" customWidth="1"/>
    <col min="7687" max="7687" width="12.7109375" style="7" customWidth="1"/>
    <col min="7688" max="7688" width="14.7109375" style="7" bestFit="1" customWidth="1"/>
    <col min="7689" max="7694" width="13.42578125" style="7" customWidth="1"/>
    <col min="7695" max="7695" width="14" style="7" customWidth="1"/>
    <col min="7696" max="7696" width="13.5703125" style="7" bestFit="1" customWidth="1"/>
    <col min="7697" max="7697" width="15.28515625" style="7" bestFit="1" customWidth="1"/>
    <col min="7698" max="7698" width="12.85546875" style="7" bestFit="1" customWidth="1"/>
    <col min="7699" max="7936" width="11.42578125" style="7"/>
    <col min="7937" max="7938" width="3" style="7" customWidth="1"/>
    <col min="7939" max="7939" width="45.42578125" style="7" customWidth="1"/>
    <col min="7940" max="7940" width="21" style="7" bestFit="1" customWidth="1"/>
    <col min="7941" max="7942" width="21.28515625" style="7" customWidth="1"/>
    <col min="7943" max="7943" width="12.7109375" style="7" customWidth="1"/>
    <col min="7944" max="7944" width="14.7109375" style="7" bestFit="1" customWidth="1"/>
    <col min="7945" max="7950" width="13.42578125" style="7" customWidth="1"/>
    <col min="7951" max="7951" width="14" style="7" customWidth="1"/>
    <col min="7952" max="7952" width="13.5703125" style="7" bestFit="1" customWidth="1"/>
    <col min="7953" max="7953" width="15.28515625" style="7" bestFit="1" customWidth="1"/>
    <col min="7954" max="7954" width="12.85546875" style="7" bestFit="1" customWidth="1"/>
    <col min="7955" max="8192" width="11.42578125" style="7"/>
    <col min="8193" max="8194" width="3" style="7" customWidth="1"/>
    <col min="8195" max="8195" width="45.42578125" style="7" customWidth="1"/>
    <col min="8196" max="8196" width="21" style="7" bestFit="1" customWidth="1"/>
    <col min="8197" max="8198" width="21.28515625" style="7" customWidth="1"/>
    <col min="8199" max="8199" width="12.7109375" style="7" customWidth="1"/>
    <col min="8200" max="8200" width="14.7109375" style="7" bestFit="1" customWidth="1"/>
    <col min="8201" max="8206" width="13.42578125" style="7" customWidth="1"/>
    <col min="8207" max="8207" width="14" style="7" customWidth="1"/>
    <col min="8208" max="8208" width="13.5703125" style="7" bestFit="1" customWidth="1"/>
    <col min="8209" max="8209" width="15.28515625" style="7" bestFit="1" customWidth="1"/>
    <col min="8210" max="8210" width="12.85546875" style="7" bestFit="1" customWidth="1"/>
    <col min="8211" max="8448" width="11.42578125" style="7"/>
    <col min="8449" max="8450" width="3" style="7" customWidth="1"/>
    <col min="8451" max="8451" width="45.42578125" style="7" customWidth="1"/>
    <col min="8452" max="8452" width="21" style="7" bestFit="1" customWidth="1"/>
    <col min="8453" max="8454" width="21.28515625" style="7" customWidth="1"/>
    <col min="8455" max="8455" width="12.7109375" style="7" customWidth="1"/>
    <col min="8456" max="8456" width="14.7109375" style="7" bestFit="1" customWidth="1"/>
    <col min="8457" max="8462" width="13.42578125" style="7" customWidth="1"/>
    <col min="8463" max="8463" width="14" style="7" customWidth="1"/>
    <col min="8464" max="8464" width="13.5703125" style="7" bestFit="1" customWidth="1"/>
    <col min="8465" max="8465" width="15.28515625" style="7" bestFit="1" customWidth="1"/>
    <col min="8466" max="8466" width="12.85546875" style="7" bestFit="1" customWidth="1"/>
    <col min="8467" max="8704" width="11.42578125" style="7"/>
    <col min="8705" max="8706" width="3" style="7" customWidth="1"/>
    <col min="8707" max="8707" width="45.42578125" style="7" customWidth="1"/>
    <col min="8708" max="8708" width="21" style="7" bestFit="1" customWidth="1"/>
    <col min="8709" max="8710" width="21.28515625" style="7" customWidth="1"/>
    <col min="8711" max="8711" width="12.7109375" style="7" customWidth="1"/>
    <col min="8712" max="8712" width="14.7109375" style="7" bestFit="1" customWidth="1"/>
    <col min="8713" max="8718" width="13.42578125" style="7" customWidth="1"/>
    <col min="8719" max="8719" width="14" style="7" customWidth="1"/>
    <col min="8720" max="8720" width="13.5703125" style="7" bestFit="1" customWidth="1"/>
    <col min="8721" max="8721" width="15.28515625" style="7" bestFit="1" customWidth="1"/>
    <col min="8722" max="8722" width="12.85546875" style="7" bestFit="1" customWidth="1"/>
    <col min="8723" max="8960" width="11.42578125" style="7"/>
    <col min="8961" max="8962" width="3" style="7" customWidth="1"/>
    <col min="8963" max="8963" width="45.42578125" style="7" customWidth="1"/>
    <col min="8964" max="8964" width="21" style="7" bestFit="1" customWidth="1"/>
    <col min="8965" max="8966" width="21.28515625" style="7" customWidth="1"/>
    <col min="8967" max="8967" width="12.7109375" style="7" customWidth="1"/>
    <col min="8968" max="8968" width="14.7109375" style="7" bestFit="1" customWidth="1"/>
    <col min="8969" max="8974" width="13.42578125" style="7" customWidth="1"/>
    <col min="8975" max="8975" width="14" style="7" customWidth="1"/>
    <col min="8976" max="8976" width="13.5703125" style="7" bestFit="1" customWidth="1"/>
    <col min="8977" max="8977" width="15.28515625" style="7" bestFit="1" customWidth="1"/>
    <col min="8978" max="8978" width="12.85546875" style="7" bestFit="1" customWidth="1"/>
    <col min="8979" max="9216" width="11.42578125" style="7"/>
    <col min="9217" max="9218" width="3" style="7" customWidth="1"/>
    <col min="9219" max="9219" width="45.42578125" style="7" customWidth="1"/>
    <col min="9220" max="9220" width="21" style="7" bestFit="1" customWidth="1"/>
    <col min="9221" max="9222" width="21.28515625" style="7" customWidth="1"/>
    <col min="9223" max="9223" width="12.7109375" style="7" customWidth="1"/>
    <col min="9224" max="9224" width="14.7109375" style="7" bestFit="1" customWidth="1"/>
    <col min="9225" max="9230" width="13.42578125" style="7" customWidth="1"/>
    <col min="9231" max="9231" width="14" style="7" customWidth="1"/>
    <col min="9232" max="9232" width="13.5703125" style="7" bestFit="1" customWidth="1"/>
    <col min="9233" max="9233" width="15.28515625" style="7" bestFit="1" customWidth="1"/>
    <col min="9234" max="9234" width="12.85546875" style="7" bestFit="1" customWidth="1"/>
    <col min="9235" max="9472" width="11.42578125" style="7"/>
    <col min="9473" max="9474" width="3" style="7" customWidth="1"/>
    <col min="9475" max="9475" width="45.42578125" style="7" customWidth="1"/>
    <col min="9476" max="9476" width="21" style="7" bestFit="1" customWidth="1"/>
    <col min="9477" max="9478" width="21.28515625" style="7" customWidth="1"/>
    <col min="9479" max="9479" width="12.7109375" style="7" customWidth="1"/>
    <col min="9480" max="9480" width="14.7109375" style="7" bestFit="1" customWidth="1"/>
    <col min="9481" max="9486" width="13.42578125" style="7" customWidth="1"/>
    <col min="9487" max="9487" width="14" style="7" customWidth="1"/>
    <col min="9488" max="9488" width="13.5703125" style="7" bestFit="1" customWidth="1"/>
    <col min="9489" max="9489" width="15.28515625" style="7" bestFit="1" customWidth="1"/>
    <col min="9490" max="9490" width="12.85546875" style="7" bestFit="1" customWidth="1"/>
    <col min="9491" max="9728" width="11.42578125" style="7"/>
    <col min="9729" max="9730" width="3" style="7" customWidth="1"/>
    <col min="9731" max="9731" width="45.42578125" style="7" customWidth="1"/>
    <col min="9732" max="9732" width="21" style="7" bestFit="1" customWidth="1"/>
    <col min="9733" max="9734" width="21.28515625" style="7" customWidth="1"/>
    <col min="9735" max="9735" width="12.7109375" style="7" customWidth="1"/>
    <col min="9736" max="9736" width="14.7109375" style="7" bestFit="1" customWidth="1"/>
    <col min="9737" max="9742" width="13.42578125" style="7" customWidth="1"/>
    <col min="9743" max="9743" width="14" style="7" customWidth="1"/>
    <col min="9744" max="9744" width="13.5703125" style="7" bestFit="1" customWidth="1"/>
    <col min="9745" max="9745" width="15.28515625" style="7" bestFit="1" customWidth="1"/>
    <col min="9746" max="9746" width="12.85546875" style="7" bestFit="1" customWidth="1"/>
    <col min="9747" max="9984" width="11.42578125" style="7"/>
    <col min="9985" max="9986" width="3" style="7" customWidth="1"/>
    <col min="9987" max="9987" width="45.42578125" style="7" customWidth="1"/>
    <col min="9988" max="9988" width="21" style="7" bestFit="1" customWidth="1"/>
    <col min="9989" max="9990" width="21.28515625" style="7" customWidth="1"/>
    <col min="9991" max="9991" width="12.7109375" style="7" customWidth="1"/>
    <col min="9992" max="9992" width="14.7109375" style="7" bestFit="1" customWidth="1"/>
    <col min="9993" max="9998" width="13.42578125" style="7" customWidth="1"/>
    <col min="9999" max="9999" width="14" style="7" customWidth="1"/>
    <col min="10000" max="10000" width="13.5703125" style="7" bestFit="1" customWidth="1"/>
    <col min="10001" max="10001" width="15.28515625" style="7" bestFit="1" customWidth="1"/>
    <col min="10002" max="10002" width="12.85546875" style="7" bestFit="1" customWidth="1"/>
    <col min="10003" max="10240" width="11.42578125" style="7"/>
    <col min="10241" max="10242" width="3" style="7" customWidth="1"/>
    <col min="10243" max="10243" width="45.42578125" style="7" customWidth="1"/>
    <col min="10244" max="10244" width="21" style="7" bestFit="1" customWidth="1"/>
    <col min="10245" max="10246" width="21.28515625" style="7" customWidth="1"/>
    <col min="10247" max="10247" width="12.7109375" style="7" customWidth="1"/>
    <col min="10248" max="10248" width="14.7109375" style="7" bestFit="1" customWidth="1"/>
    <col min="10249" max="10254" width="13.42578125" style="7" customWidth="1"/>
    <col min="10255" max="10255" width="14" style="7" customWidth="1"/>
    <col min="10256" max="10256" width="13.5703125" style="7" bestFit="1" customWidth="1"/>
    <col min="10257" max="10257" width="15.28515625" style="7" bestFit="1" customWidth="1"/>
    <col min="10258" max="10258" width="12.85546875" style="7" bestFit="1" customWidth="1"/>
    <col min="10259" max="10496" width="11.42578125" style="7"/>
    <col min="10497" max="10498" width="3" style="7" customWidth="1"/>
    <col min="10499" max="10499" width="45.42578125" style="7" customWidth="1"/>
    <col min="10500" max="10500" width="21" style="7" bestFit="1" customWidth="1"/>
    <col min="10501" max="10502" width="21.28515625" style="7" customWidth="1"/>
    <col min="10503" max="10503" width="12.7109375" style="7" customWidth="1"/>
    <col min="10504" max="10504" width="14.7109375" style="7" bestFit="1" customWidth="1"/>
    <col min="10505" max="10510" width="13.42578125" style="7" customWidth="1"/>
    <col min="10511" max="10511" width="14" style="7" customWidth="1"/>
    <col min="10512" max="10512" width="13.5703125" style="7" bestFit="1" customWidth="1"/>
    <col min="10513" max="10513" width="15.28515625" style="7" bestFit="1" customWidth="1"/>
    <col min="10514" max="10514" width="12.85546875" style="7" bestFit="1" customWidth="1"/>
    <col min="10515" max="10752" width="11.42578125" style="7"/>
    <col min="10753" max="10754" width="3" style="7" customWidth="1"/>
    <col min="10755" max="10755" width="45.42578125" style="7" customWidth="1"/>
    <col min="10756" max="10756" width="21" style="7" bestFit="1" customWidth="1"/>
    <col min="10757" max="10758" width="21.28515625" style="7" customWidth="1"/>
    <col min="10759" max="10759" width="12.7109375" style="7" customWidth="1"/>
    <col min="10760" max="10760" width="14.7109375" style="7" bestFit="1" customWidth="1"/>
    <col min="10761" max="10766" width="13.42578125" style="7" customWidth="1"/>
    <col min="10767" max="10767" width="14" style="7" customWidth="1"/>
    <col min="10768" max="10768" width="13.5703125" style="7" bestFit="1" customWidth="1"/>
    <col min="10769" max="10769" width="15.28515625" style="7" bestFit="1" customWidth="1"/>
    <col min="10770" max="10770" width="12.85546875" style="7" bestFit="1" customWidth="1"/>
    <col min="10771" max="11008" width="11.42578125" style="7"/>
    <col min="11009" max="11010" width="3" style="7" customWidth="1"/>
    <col min="11011" max="11011" width="45.42578125" style="7" customWidth="1"/>
    <col min="11012" max="11012" width="21" style="7" bestFit="1" customWidth="1"/>
    <col min="11013" max="11014" width="21.28515625" style="7" customWidth="1"/>
    <col min="11015" max="11015" width="12.7109375" style="7" customWidth="1"/>
    <col min="11016" max="11016" width="14.7109375" style="7" bestFit="1" customWidth="1"/>
    <col min="11017" max="11022" width="13.42578125" style="7" customWidth="1"/>
    <col min="11023" max="11023" width="14" style="7" customWidth="1"/>
    <col min="11024" max="11024" width="13.5703125" style="7" bestFit="1" customWidth="1"/>
    <col min="11025" max="11025" width="15.28515625" style="7" bestFit="1" customWidth="1"/>
    <col min="11026" max="11026" width="12.85546875" style="7" bestFit="1" customWidth="1"/>
    <col min="11027" max="11264" width="11.42578125" style="7"/>
    <col min="11265" max="11266" width="3" style="7" customWidth="1"/>
    <col min="11267" max="11267" width="45.42578125" style="7" customWidth="1"/>
    <col min="11268" max="11268" width="21" style="7" bestFit="1" customWidth="1"/>
    <col min="11269" max="11270" width="21.28515625" style="7" customWidth="1"/>
    <col min="11271" max="11271" width="12.7109375" style="7" customWidth="1"/>
    <col min="11272" max="11272" width="14.7109375" style="7" bestFit="1" customWidth="1"/>
    <col min="11273" max="11278" width="13.42578125" style="7" customWidth="1"/>
    <col min="11279" max="11279" width="14" style="7" customWidth="1"/>
    <col min="11280" max="11280" width="13.5703125" style="7" bestFit="1" customWidth="1"/>
    <col min="11281" max="11281" width="15.28515625" style="7" bestFit="1" customWidth="1"/>
    <col min="11282" max="11282" width="12.85546875" style="7" bestFit="1" customWidth="1"/>
    <col min="11283" max="11520" width="11.42578125" style="7"/>
    <col min="11521" max="11522" width="3" style="7" customWidth="1"/>
    <col min="11523" max="11523" width="45.42578125" style="7" customWidth="1"/>
    <col min="11524" max="11524" width="21" style="7" bestFit="1" customWidth="1"/>
    <col min="11525" max="11526" width="21.28515625" style="7" customWidth="1"/>
    <col min="11527" max="11527" width="12.7109375" style="7" customWidth="1"/>
    <col min="11528" max="11528" width="14.7109375" style="7" bestFit="1" customWidth="1"/>
    <col min="11529" max="11534" width="13.42578125" style="7" customWidth="1"/>
    <col min="11535" max="11535" width="14" style="7" customWidth="1"/>
    <col min="11536" max="11536" width="13.5703125" style="7" bestFit="1" customWidth="1"/>
    <col min="11537" max="11537" width="15.28515625" style="7" bestFit="1" customWidth="1"/>
    <col min="11538" max="11538" width="12.85546875" style="7" bestFit="1" customWidth="1"/>
    <col min="11539" max="11776" width="11.42578125" style="7"/>
    <col min="11777" max="11778" width="3" style="7" customWidth="1"/>
    <col min="11779" max="11779" width="45.42578125" style="7" customWidth="1"/>
    <col min="11780" max="11780" width="21" style="7" bestFit="1" customWidth="1"/>
    <col min="11781" max="11782" width="21.28515625" style="7" customWidth="1"/>
    <col min="11783" max="11783" width="12.7109375" style="7" customWidth="1"/>
    <col min="11784" max="11784" width="14.7109375" style="7" bestFit="1" customWidth="1"/>
    <col min="11785" max="11790" width="13.42578125" style="7" customWidth="1"/>
    <col min="11791" max="11791" width="14" style="7" customWidth="1"/>
    <col min="11792" max="11792" width="13.5703125" style="7" bestFit="1" customWidth="1"/>
    <col min="11793" max="11793" width="15.28515625" style="7" bestFit="1" customWidth="1"/>
    <col min="11794" max="11794" width="12.85546875" style="7" bestFit="1" customWidth="1"/>
    <col min="11795" max="12032" width="11.42578125" style="7"/>
    <col min="12033" max="12034" width="3" style="7" customWidth="1"/>
    <col min="12035" max="12035" width="45.42578125" style="7" customWidth="1"/>
    <col min="12036" max="12036" width="21" style="7" bestFit="1" customWidth="1"/>
    <col min="12037" max="12038" width="21.28515625" style="7" customWidth="1"/>
    <col min="12039" max="12039" width="12.7109375" style="7" customWidth="1"/>
    <col min="12040" max="12040" width="14.7109375" style="7" bestFit="1" customWidth="1"/>
    <col min="12041" max="12046" width="13.42578125" style="7" customWidth="1"/>
    <col min="12047" max="12047" width="14" style="7" customWidth="1"/>
    <col min="12048" max="12048" width="13.5703125" style="7" bestFit="1" customWidth="1"/>
    <col min="12049" max="12049" width="15.28515625" style="7" bestFit="1" customWidth="1"/>
    <col min="12050" max="12050" width="12.85546875" style="7" bestFit="1" customWidth="1"/>
    <col min="12051" max="12288" width="11.42578125" style="7"/>
    <col min="12289" max="12290" width="3" style="7" customWidth="1"/>
    <col min="12291" max="12291" width="45.42578125" style="7" customWidth="1"/>
    <col min="12292" max="12292" width="21" style="7" bestFit="1" customWidth="1"/>
    <col min="12293" max="12294" width="21.28515625" style="7" customWidth="1"/>
    <col min="12295" max="12295" width="12.7109375" style="7" customWidth="1"/>
    <col min="12296" max="12296" width="14.7109375" style="7" bestFit="1" customWidth="1"/>
    <col min="12297" max="12302" width="13.42578125" style="7" customWidth="1"/>
    <col min="12303" max="12303" width="14" style="7" customWidth="1"/>
    <col min="12304" max="12304" width="13.5703125" style="7" bestFit="1" customWidth="1"/>
    <col min="12305" max="12305" width="15.28515625" style="7" bestFit="1" customWidth="1"/>
    <col min="12306" max="12306" width="12.85546875" style="7" bestFit="1" customWidth="1"/>
    <col min="12307" max="12544" width="11.42578125" style="7"/>
    <col min="12545" max="12546" width="3" style="7" customWidth="1"/>
    <col min="12547" max="12547" width="45.42578125" style="7" customWidth="1"/>
    <col min="12548" max="12548" width="21" style="7" bestFit="1" customWidth="1"/>
    <col min="12549" max="12550" width="21.28515625" style="7" customWidth="1"/>
    <col min="12551" max="12551" width="12.7109375" style="7" customWidth="1"/>
    <col min="12552" max="12552" width="14.7109375" style="7" bestFit="1" customWidth="1"/>
    <col min="12553" max="12558" width="13.42578125" style="7" customWidth="1"/>
    <col min="12559" max="12559" width="14" style="7" customWidth="1"/>
    <col min="12560" max="12560" width="13.5703125" style="7" bestFit="1" customWidth="1"/>
    <col min="12561" max="12561" width="15.28515625" style="7" bestFit="1" customWidth="1"/>
    <col min="12562" max="12562" width="12.85546875" style="7" bestFit="1" customWidth="1"/>
    <col min="12563" max="12800" width="11.42578125" style="7"/>
    <col min="12801" max="12802" width="3" style="7" customWidth="1"/>
    <col min="12803" max="12803" width="45.42578125" style="7" customWidth="1"/>
    <col min="12804" max="12804" width="21" style="7" bestFit="1" customWidth="1"/>
    <col min="12805" max="12806" width="21.28515625" style="7" customWidth="1"/>
    <col min="12807" max="12807" width="12.7109375" style="7" customWidth="1"/>
    <col min="12808" max="12808" width="14.7109375" style="7" bestFit="1" customWidth="1"/>
    <col min="12809" max="12814" width="13.42578125" style="7" customWidth="1"/>
    <col min="12815" max="12815" width="14" style="7" customWidth="1"/>
    <col min="12816" max="12816" width="13.5703125" style="7" bestFit="1" customWidth="1"/>
    <col min="12817" max="12817" width="15.28515625" style="7" bestFit="1" customWidth="1"/>
    <col min="12818" max="12818" width="12.85546875" style="7" bestFit="1" customWidth="1"/>
    <col min="12819" max="13056" width="11.42578125" style="7"/>
    <col min="13057" max="13058" width="3" style="7" customWidth="1"/>
    <col min="13059" max="13059" width="45.42578125" style="7" customWidth="1"/>
    <col min="13060" max="13060" width="21" style="7" bestFit="1" customWidth="1"/>
    <col min="13061" max="13062" width="21.28515625" style="7" customWidth="1"/>
    <col min="13063" max="13063" width="12.7109375" style="7" customWidth="1"/>
    <col min="13064" max="13064" width="14.7109375" style="7" bestFit="1" customWidth="1"/>
    <col min="13065" max="13070" width="13.42578125" style="7" customWidth="1"/>
    <col min="13071" max="13071" width="14" style="7" customWidth="1"/>
    <col min="13072" max="13072" width="13.5703125" style="7" bestFit="1" customWidth="1"/>
    <col min="13073" max="13073" width="15.28515625" style="7" bestFit="1" customWidth="1"/>
    <col min="13074" max="13074" width="12.85546875" style="7" bestFit="1" customWidth="1"/>
    <col min="13075" max="13312" width="11.42578125" style="7"/>
    <col min="13313" max="13314" width="3" style="7" customWidth="1"/>
    <col min="13315" max="13315" width="45.42578125" style="7" customWidth="1"/>
    <col min="13316" max="13316" width="21" style="7" bestFit="1" customWidth="1"/>
    <col min="13317" max="13318" width="21.28515625" style="7" customWidth="1"/>
    <col min="13319" max="13319" width="12.7109375" style="7" customWidth="1"/>
    <col min="13320" max="13320" width="14.7109375" style="7" bestFit="1" customWidth="1"/>
    <col min="13321" max="13326" width="13.42578125" style="7" customWidth="1"/>
    <col min="13327" max="13327" width="14" style="7" customWidth="1"/>
    <col min="13328" max="13328" width="13.5703125" style="7" bestFit="1" customWidth="1"/>
    <col min="13329" max="13329" width="15.28515625" style="7" bestFit="1" customWidth="1"/>
    <col min="13330" max="13330" width="12.85546875" style="7" bestFit="1" customWidth="1"/>
    <col min="13331" max="13568" width="11.42578125" style="7"/>
    <col min="13569" max="13570" width="3" style="7" customWidth="1"/>
    <col min="13571" max="13571" width="45.42578125" style="7" customWidth="1"/>
    <col min="13572" max="13572" width="21" style="7" bestFit="1" customWidth="1"/>
    <col min="13573" max="13574" width="21.28515625" style="7" customWidth="1"/>
    <col min="13575" max="13575" width="12.7109375" style="7" customWidth="1"/>
    <col min="13576" max="13576" width="14.7109375" style="7" bestFit="1" customWidth="1"/>
    <col min="13577" max="13582" width="13.42578125" style="7" customWidth="1"/>
    <col min="13583" max="13583" width="14" style="7" customWidth="1"/>
    <col min="13584" max="13584" width="13.5703125" style="7" bestFit="1" customWidth="1"/>
    <col min="13585" max="13585" width="15.28515625" style="7" bestFit="1" customWidth="1"/>
    <col min="13586" max="13586" width="12.85546875" style="7" bestFit="1" customWidth="1"/>
    <col min="13587" max="13824" width="11.42578125" style="7"/>
    <col min="13825" max="13826" width="3" style="7" customWidth="1"/>
    <col min="13827" max="13827" width="45.42578125" style="7" customWidth="1"/>
    <col min="13828" max="13828" width="21" style="7" bestFit="1" customWidth="1"/>
    <col min="13829" max="13830" width="21.28515625" style="7" customWidth="1"/>
    <col min="13831" max="13831" width="12.7109375" style="7" customWidth="1"/>
    <col min="13832" max="13832" width="14.7109375" style="7" bestFit="1" customWidth="1"/>
    <col min="13833" max="13838" width="13.42578125" style="7" customWidth="1"/>
    <col min="13839" max="13839" width="14" style="7" customWidth="1"/>
    <col min="13840" max="13840" width="13.5703125" style="7" bestFit="1" customWidth="1"/>
    <col min="13841" max="13841" width="15.28515625" style="7" bestFit="1" customWidth="1"/>
    <col min="13842" max="13842" width="12.85546875" style="7" bestFit="1" customWidth="1"/>
    <col min="13843" max="14080" width="11.42578125" style="7"/>
    <col min="14081" max="14082" width="3" style="7" customWidth="1"/>
    <col min="14083" max="14083" width="45.42578125" style="7" customWidth="1"/>
    <col min="14084" max="14084" width="21" style="7" bestFit="1" customWidth="1"/>
    <col min="14085" max="14086" width="21.28515625" style="7" customWidth="1"/>
    <col min="14087" max="14087" width="12.7109375" style="7" customWidth="1"/>
    <col min="14088" max="14088" width="14.7109375" style="7" bestFit="1" customWidth="1"/>
    <col min="14089" max="14094" width="13.42578125" style="7" customWidth="1"/>
    <col min="14095" max="14095" width="14" style="7" customWidth="1"/>
    <col min="14096" max="14096" width="13.5703125" style="7" bestFit="1" customWidth="1"/>
    <col min="14097" max="14097" width="15.28515625" style="7" bestFit="1" customWidth="1"/>
    <col min="14098" max="14098" width="12.85546875" style="7" bestFit="1" customWidth="1"/>
    <col min="14099" max="14336" width="11.42578125" style="7"/>
    <col min="14337" max="14338" width="3" style="7" customWidth="1"/>
    <col min="14339" max="14339" width="45.42578125" style="7" customWidth="1"/>
    <col min="14340" max="14340" width="21" style="7" bestFit="1" customWidth="1"/>
    <col min="14341" max="14342" width="21.28515625" style="7" customWidth="1"/>
    <col min="14343" max="14343" width="12.7109375" style="7" customWidth="1"/>
    <col min="14344" max="14344" width="14.7109375" style="7" bestFit="1" customWidth="1"/>
    <col min="14345" max="14350" width="13.42578125" style="7" customWidth="1"/>
    <col min="14351" max="14351" width="14" style="7" customWidth="1"/>
    <col min="14352" max="14352" width="13.5703125" style="7" bestFit="1" customWidth="1"/>
    <col min="14353" max="14353" width="15.28515625" style="7" bestFit="1" customWidth="1"/>
    <col min="14354" max="14354" width="12.85546875" style="7" bestFit="1" customWidth="1"/>
    <col min="14355" max="14592" width="11.42578125" style="7"/>
    <col min="14593" max="14594" width="3" style="7" customWidth="1"/>
    <col min="14595" max="14595" width="45.42578125" style="7" customWidth="1"/>
    <col min="14596" max="14596" width="21" style="7" bestFit="1" customWidth="1"/>
    <col min="14597" max="14598" width="21.28515625" style="7" customWidth="1"/>
    <col min="14599" max="14599" width="12.7109375" style="7" customWidth="1"/>
    <col min="14600" max="14600" width="14.7109375" style="7" bestFit="1" customWidth="1"/>
    <col min="14601" max="14606" width="13.42578125" style="7" customWidth="1"/>
    <col min="14607" max="14607" width="14" style="7" customWidth="1"/>
    <col min="14608" max="14608" width="13.5703125" style="7" bestFit="1" customWidth="1"/>
    <col min="14609" max="14609" width="15.28515625" style="7" bestFit="1" customWidth="1"/>
    <col min="14610" max="14610" width="12.85546875" style="7" bestFit="1" customWidth="1"/>
    <col min="14611" max="14848" width="11.42578125" style="7"/>
    <col min="14849" max="14850" width="3" style="7" customWidth="1"/>
    <col min="14851" max="14851" width="45.42578125" style="7" customWidth="1"/>
    <col min="14852" max="14852" width="21" style="7" bestFit="1" customWidth="1"/>
    <col min="14853" max="14854" width="21.28515625" style="7" customWidth="1"/>
    <col min="14855" max="14855" width="12.7109375" style="7" customWidth="1"/>
    <col min="14856" max="14856" width="14.7109375" style="7" bestFit="1" customWidth="1"/>
    <col min="14857" max="14862" width="13.42578125" style="7" customWidth="1"/>
    <col min="14863" max="14863" width="14" style="7" customWidth="1"/>
    <col min="14864" max="14864" width="13.5703125" style="7" bestFit="1" customWidth="1"/>
    <col min="14865" max="14865" width="15.28515625" style="7" bestFit="1" customWidth="1"/>
    <col min="14866" max="14866" width="12.85546875" style="7" bestFit="1" customWidth="1"/>
    <col min="14867" max="15104" width="11.42578125" style="7"/>
    <col min="15105" max="15106" width="3" style="7" customWidth="1"/>
    <col min="15107" max="15107" width="45.42578125" style="7" customWidth="1"/>
    <col min="15108" max="15108" width="21" style="7" bestFit="1" customWidth="1"/>
    <col min="15109" max="15110" width="21.28515625" style="7" customWidth="1"/>
    <col min="15111" max="15111" width="12.7109375" style="7" customWidth="1"/>
    <col min="15112" max="15112" width="14.7109375" style="7" bestFit="1" customWidth="1"/>
    <col min="15113" max="15118" width="13.42578125" style="7" customWidth="1"/>
    <col min="15119" max="15119" width="14" style="7" customWidth="1"/>
    <col min="15120" max="15120" width="13.5703125" style="7" bestFit="1" customWidth="1"/>
    <col min="15121" max="15121" width="15.28515625" style="7" bestFit="1" customWidth="1"/>
    <col min="15122" max="15122" width="12.85546875" style="7" bestFit="1" customWidth="1"/>
    <col min="15123" max="15360" width="11.42578125" style="7"/>
    <col min="15361" max="15362" width="3" style="7" customWidth="1"/>
    <col min="15363" max="15363" width="45.42578125" style="7" customWidth="1"/>
    <col min="15364" max="15364" width="21" style="7" bestFit="1" customWidth="1"/>
    <col min="15365" max="15366" width="21.28515625" style="7" customWidth="1"/>
    <col min="15367" max="15367" width="12.7109375" style="7" customWidth="1"/>
    <col min="15368" max="15368" width="14.7109375" style="7" bestFit="1" customWidth="1"/>
    <col min="15369" max="15374" width="13.42578125" style="7" customWidth="1"/>
    <col min="15375" max="15375" width="14" style="7" customWidth="1"/>
    <col min="15376" max="15376" width="13.5703125" style="7" bestFit="1" customWidth="1"/>
    <col min="15377" max="15377" width="15.28515625" style="7" bestFit="1" customWidth="1"/>
    <col min="15378" max="15378" width="12.85546875" style="7" bestFit="1" customWidth="1"/>
    <col min="15379" max="15616" width="11.42578125" style="7"/>
    <col min="15617" max="15618" width="3" style="7" customWidth="1"/>
    <col min="15619" max="15619" width="45.42578125" style="7" customWidth="1"/>
    <col min="15620" max="15620" width="21" style="7" bestFit="1" customWidth="1"/>
    <col min="15621" max="15622" width="21.28515625" style="7" customWidth="1"/>
    <col min="15623" max="15623" width="12.7109375" style="7" customWidth="1"/>
    <col min="15624" max="15624" width="14.7109375" style="7" bestFit="1" customWidth="1"/>
    <col min="15625" max="15630" width="13.42578125" style="7" customWidth="1"/>
    <col min="15631" max="15631" width="14" style="7" customWidth="1"/>
    <col min="15632" max="15632" width="13.5703125" style="7" bestFit="1" customWidth="1"/>
    <col min="15633" max="15633" width="15.28515625" style="7" bestFit="1" customWidth="1"/>
    <col min="15634" max="15634" width="12.85546875" style="7" bestFit="1" customWidth="1"/>
    <col min="15635" max="15872" width="11.42578125" style="7"/>
    <col min="15873" max="15874" width="3" style="7" customWidth="1"/>
    <col min="15875" max="15875" width="45.42578125" style="7" customWidth="1"/>
    <col min="15876" max="15876" width="21" style="7" bestFit="1" customWidth="1"/>
    <col min="15877" max="15878" width="21.28515625" style="7" customWidth="1"/>
    <col min="15879" max="15879" width="12.7109375" style="7" customWidth="1"/>
    <col min="15880" max="15880" width="14.7109375" style="7" bestFit="1" customWidth="1"/>
    <col min="15881" max="15886" width="13.42578125" style="7" customWidth="1"/>
    <col min="15887" max="15887" width="14" style="7" customWidth="1"/>
    <col min="15888" max="15888" width="13.5703125" style="7" bestFit="1" customWidth="1"/>
    <col min="15889" max="15889" width="15.28515625" style="7" bestFit="1" customWidth="1"/>
    <col min="15890" max="15890" width="12.85546875" style="7" bestFit="1" customWidth="1"/>
    <col min="15891" max="16128" width="11.42578125" style="7"/>
    <col min="16129" max="16130" width="3" style="7" customWidth="1"/>
    <col min="16131" max="16131" width="45.42578125" style="7" customWidth="1"/>
    <col min="16132" max="16132" width="21" style="7" bestFit="1" customWidth="1"/>
    <col min="16133" max="16134" width="21.28515625" style="7" customWidth="1"/>
    <col min="16135" max="16135" width="12.7109375" style="7" customWidth="1"/>
    <col min="16136" max="16136" width="14.7109375" style="7" bestFit="1" customWidth="1"/>
    <col min="16137" max="16142" width="13.42578125" style="7" customWidth="1"/>
    <col min="16143" max="16143" width="14" style="7" customWidth="1"/>
    <col min="16144" max="16144" width="13.5703125" style="7" bestFit="1" customWidth="1"/>
    <col min="16145" max="16145" width="15.28515625" style="7" bestFit="1" customWidth="1"/>
    <col min="16146" max="16146" width="12.85546875" style="7" bestFit="1" customWidth="1"/>
    <col min="16147" max="16384" width="11.42578125" style="7"/>
  </cols>
  <sheetData>
    <row r="1" spans="1:18" x14ac:dyDescent="0.25">
      <c r="A1" s="115"/>
      <c r="B1" s="115"/>
      <c r="C1" s="3"/>
      <c r="D1" s="3"/>
      <c r="E1" s="3"/>
      <c r="F1" s="3"/>
      <c r="H1" s="3"/>
      <c r="I1" s="4"/>
      <c r="J1" s="5"/>
      <c r="K1" s="5"/>
      <c r="L1" s="5"/>
      <c r="M1" s="5"/>
      <c r="N1" s="5"/>
    </row>
    <row r="2" spans="1:18" x14ac:dyDescent="0.25">
      <c r="A2" s="115"/>
      <c r="B2" s="115"/>
      <c r="D2" s="3"/>
      <c r="E2" s="3"/>
      <c r="F2" s="3"/>
      <c r="I2" s="64"/>
      <c r="J2" s="64"/>
      <c r="K2" s="64"/>
      <c r="L2" s="64"/>
      <c r="M2" s="64"/>
      <c r="N2" s="64"/>
    </row>
    <row r="3" spans="1:18" x14ac:dyDescent="0.25">
      <c r="I3" s="5"/>
      <c r="J3" s="5"/>
      <c r="K3" s="5"/>
      <c r="L3" s="5"/>
      <c r="M3" s="5"/>
      <c r="N3" s="5"/>
    </row>
    <row r="4" spans="1:18" x14ac:dyDescent="0.25">
      <c r="A4" s="9" t="s">
        <v>0</v>
      </c>
      <c r="B4" s="9"/>
      <c r="C4" s="9"/>
      <c r="D4" s="10" t="s">
        <v>1</v>
      </c>
      <c r="E4" s="11" t="s">
        <v>2</v>
      </c>
      <c r="F4" s="11" t="s">
        <v>3</v>
      </c>
      <c r="G4" s="12" t="s">
        <v>4</v>
      </c>
      <c r="H4" s="10" t="s">
        <v>5</v>
      </c>
      <c r="I4" s="10" t="s">
        <v>6</v>
      </c>
      <c r="J4" s="10"/>
      <c r="K4" s="10"/>
      <c r="L4" s="10"/>
      <c r="M4" s="10"/>
      <c r="N4" s="10"/>
      <c r="P4" s="13"/>
    </row>
    <row r="5" spans="1:18" x14ac:dyDescent="0.25">
      <c r="A5" s="9"/>
      <c r="B5" s="9"/>
      <c r="C5" s="9"/>
      <c r="D5" s="10"/>
      <c r="E5" s="11"/>
      <c r="F5" s="11"/>
      <c r="G5" s="14">
        <v>45992</v>
      </c>
      <c r="H5" s="10"/>
      <c r="I5" s="15" t="s">
        <v>7</v>
      </c>
      <c r="J5" s="15" t="s">
        <v>8</v>
      </c>
      <c r="K5" s="15" t="s">
        <v>9</v>
      </c>
      <c r="L5" s="15" t="s">
        <v>58</v>
      </c>
      <c r="M5" s="15" t="s">
        <v>59</v>
      </c>
      <c r="N5" s="15" t="s">
        <v>12</v>
      </c>
      <c r="P5" s="13"/>
    </row>
    <row r="6" spans="1:18" s="16" customFormat="1" x14ac:dyDescent="0.25">
      <c r="A6" s="7"/>
      <c r="C6" s="17"/>
      <c r="E6" s="18"/>
      <c r="F6" s="18"/>
      <c r="G6" s="116"/>
      <c r="H6" s="20"/>
      <c r="I6" s="71"/>
      <c r="J6" s="71"/>
      <c r="K6" s="71"/>
      <c r="L6" s="71"/>
      <c r="M6" s="71"/>
      <c r="N6" s="71"/>
      <c r="O6" s="63"/>
      <c r="P6" s="13"/>
      <c r="R6" s="7"/>
    </row>
    <row r="7" spans="1:18" x14ac:dyDescent="0.25">
      <c r="A7" s="65"/>
      <c r="B7" s="67" t="s">
        <v>13</v>
      </c>
      <c r="C7" s="65"/>
      <c r="D7" s="65"/>
      <c r="E7" s="65"/>
      <c r="F7" s="65"/>
      <c r="G7" s="74"/>
      <c r="H7" s="65"/>
      <c r="I7" s="75"/>
      <c r="J7" s="75"/>
      <c r="K7" s="75"/>
      <c r="L7" s="75"/>
      <c r="M7" s="75"/>
      <c r="N7" s="75"/>
      <c r="O7" s="72"/>
      <c r="P7" s="73"/>
      <c r="Q7" s="65"/>
    </row>
    <row r="8" spans="1:18" x14ac:dyDescent="0.25">
      <c r="A8" s="65"/>
      <c r="B8" s="67"/>
      <c r="C8" s="65"/>
      <c r="D8" s="65"/>
      <c r="E8" s="76"/>
      <c r="F8" s="76"/>
      <c r="G8" s="74"/>
      <c r="H8" s="65"/>
      <c r="I8" s="75"/>
      <c r="J8" s="75"/>
      <c r="K8" s="75"/>
      <c r="L8" s="75"/>
      <c r="M8" s="75"/>
      <c r="N8" s="75"/>
      <c r="O8" s="72"/>
      <c r="P8" s="73"/>
      <c r="Q8" s="65"/>
    </row>
    <row r="9" spans="1:18" x14ac:dyDescent="0.25">
      <c r="A9" s="65"/>
      <c r="B9" s="65"/>
      <c r="C9" s="65" t="s">
        <v>89</v>
      </c>
      <c r="D9" s="27" t="s">
        <v>15</v>
      </c>
      <c r="E9" s="77">
        <v>5.2499999999999998E-2</v>
      </c>
      <c r="F9" s="77" t="s">
        <v>90</v>
      </c>
      <c r="G9" s="79">
        <v>4158.022325159588</v>
      </c>
      <c r="H9" s="80" t="s">
        <v>17</v>
      </c>
      <c r="I9" s="79">
        <v>2414.7058265350756</v>
      </c>
      <c r="J9" s="79">
        <v>-3.2870255053128257</v>
      </c>
      <c r="K9" s="79">
        <v>-3.2870255053128257</v>
      </c>
      <c r="L9" s="79">
        <v>1749.8905496351374</v>
      </c>
      <c r="M9" s="79">
        <v>0</v>
      </c>
      <c r="N9" s="79">
        <v>0</v>
      </c>
      <c r="O9" s="81"/>
      <c r="P9" s="73"/>
      <c r="Q9" s="82"/>
      <c r="R9" s="31"/>
    </row>
    <row r="10" spans="1:18" outlineLevel="1" x14ac:dyDescent="0.25">
      <c r="A10" s="65"/>
      <c r="B10" s="65"/>
      <c r="C10" s="65" t="s">
        <v>18</v>
      </c>
      <c r="D10" s="27" t="s">
        <v>15</v>
      </c>
      <c r="E10" s="77">
        <v>4.1355938780961193E-2</v>
      </c>
      <c r="F10" s="77" t="s">
        <v>91</v>
      </c>
      <c r="G10" s="79">
        <v>2554.2169546277732</v>
      </c>
      <c r="H10" s="80" t="s">
        <v>17</v>
      </c>
      <c r="I10" s="79">
        <v>513.73715550606403</v>
      </c>
      <c r="J10" s="79">
        <v>254.32987161999998</v>
      </c>
      <c r="K10" s="79">
        <v>1284.2111914697089</v>
      </c>
      <c r="L10" s="79">
        <v>501.93873603200001</v>
      </c>
      <c r="M10" s="79">
        <v>0</v>
      </c>
      <c r="N10" s="79">
        <v>0</v>
      </c>
      <c r="O10" s="81"/>
      <c r="P10" s="73"/>
      <c r="Q10" s="65"/>
    </row>
    <row r="11" spans="1:18" outlineLevel="1" x14ac:dyDescent="0.25">
      <c r="A11" s="65"/>
      <c r="B11" s="65"/>
      <c r="C11" s="65" t="s">
        <v>92</v>
      </c>
      <c r="D11" s="27" t="s">
        <v>64</v>
      </c>
      <c r="E11" s="77">
        <v>8.1216452714394372E-3</v>
      </c>
      <c r="F11" s="77" t="s">
        <v>93</v>
      </c>
      <c r="G11" s="79">
        <v>1295.4807986621793</v>
      </c>
      <c r="H11" s="80" t="s">
        <v>17</v>
      </c>
      <c r="I11" s="79">
        <v>570.09545320217921</v>
      </c>
      <c r="J11" s="79">
        <v>0</v>
      </c>
      <c r="K11" s="79">
        <v>519.09433961000002</v>
      </c>
      <c r="L11" s="79">
        <v>206.29100585</v>
      </c>
      <c r="M11" s="79">
        <v>0</v>
      </c>
      <c r="N11" s="79">
        <v>0</v>
      </c>
      <c r="O11" s="81"/>
      <c r="P11" s="73"/>
      <c r="Q11" s="65"/>
    </row>
    <row r="12" spans="1:18" x14ac:dyDescent="0.25">
      <c r="A12" s="65"/>
      <c r="B12" s="65"/>
      <c r="C12" s="65" t="s">
        <v>94</v>
      </c>
      <c r="D12" s="27" t="s">
        <v>15</v>
      </c>
      <c r="E12" s="77">
        <v>4.9500000000000002E-2</v>
      </c>
      <c r="F12" s="77" t="s">
        <v>95</v>
      </c>
      <c r="G12" s="79">
        <v>984.40042713556784</v>
      </c>
      <c r="H12" s="80">
        <v>2031</v>
      </c>
      <c r="I12" s="79">
        <v>15.710556740912001</v>
      </c>
      <c r="J12" s="79">
        <v>-3.2752036771276787</v>
      </c>
      <c r="K12" s="79">
        <v>-3.2752036771276787</v>
      </c>
      <c r="L12" s="79">
        <v>-3.2752036771276787</v>
      </c>
      <c r="M12" s="79">
        <v>-3.2752036771276787</v>
      </c>
      <c r="N12" s="79">
        <v>981.79068510316654</v>
      </c>
      <c r="O12" s="81"/>
      <c r="P12" s="73"/>
      <c r="Q12" s="82"/>
    </row>
    <row r="13" spans="1:18" outlineLevel="1" x14ac:dyDescent="0.25">
      <c r="A13" s="65"/>
      <c r="B13" s="65"/>
      <c r="C13" s="65" t="s">
        <v>96</v>
      </c>
      <c r="D13" s="27" t="s">
        <v>67</v>
      </c>
      <c r="E13" s="77">
        <v>3.0300000000000001E-2</v>
      </c>
      <c r="F13" s="77" t="s">
        <v>97</v>
      </c>
      <c r="G13" s="79">
        <v>515.65405489999989</v>
      </c>
      <c r="H13" s="80">
        <v>2027</v>
      </c>
      <c r="I13" s="79">
        <v>7.1750744600000012</v>
      </c>
      <c r="J13" s="79">
        <v>508.47898046</v>
      </c>
      <c r="K13" s="79">
        <v>0</v>
      </c>
      <c r="L13" s="79">
        <v>0</v>
      </c>
      <c r="M13" s="79">
        <v>0</v>
      </c>
      <c r="N13" s="79">
        <v>0</v>
      </c>
      <c r="O13" s="81"/>
      <c r="P13" s="73"/>
      <c r="Q13" s="65"/>
    </row>
    <row r="14" spans="1:18" outlineLevel="1" x14ac:dyDescent="0.25">
      <c r="A14" s="65"/>
      <c r="B14" s="65"/>
      <c r="C14" s="65" t="s">
        <v>98</v>
      </c>
      <c r="D14" s="27" t="s">
        <v>15</v>
      </c>
      <c r="E14" s="77">
        <v>5.3199999999999997E-2</v>
      </c>
      <c r="F14" s="77" t="s">
        <v>99</v>
      </c>
      <c r="G14" s="79">
        <v>339.8361791045001</v>
      </c>
      <c r="H14" s="80">
        <v>2026</v>
      </c>
      <c r="I14" s="79">
        <v>339.83617905200003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81"/>
      <c r="P14" s="73"/>
      <c r="Q14" s="65"/>
    </row>
    <row r="15" spans="1:18" s="16" customFormat="1" x14ac:dyDescent="0.25">
      <c r="A15" s="65"/>
      <c r="B15" s="66"/>
      <c r="C15" s="65"/>
      <c r="D15" s="27"/>
      <c r="E15" s="77"/>
      <c r="F15" s="77"/>
      <c r="G15" s="79"/>
      <c r="H15" s="80"/>
      <c r="I15" s="79"/>
      <c r="J15" s="79"/>
      <c r="K15" s="79"/>
      <c r="L15" s="79"/>
      <c r="M15" s="79"/>
      <c r="N15" s="79"/>
      <c r="O15" s="81"/>
      <c r="P15" s="73"/>
      <c r="Q15" s="66"/>
      <c r="R15" s="7"/>
    </row>
    <row r="16" spans="1:18" s="16" customFormat="1" ht="14.25" thickBot="1" x14ac:dyDescent="0.3">
      <c r="A16" s="65"/>
      <c r="B16" s="66"/>
      <c r="C16" s="67"/>
      <c r="D16" s="66"/>
      <c r="E16" s="68"/>
      <c r="F16" s="68"/>
      <c r="G16" s="83"/>
      <c r="H16" s="70"/>
      <c r="I16" s="83"/>
      <c r="J16" s="83"/>
      <c r="K16" s="83"/>
      <c r="L16" s="83"/>
      <c r="M16" s="83"/>
      <c r="N16" s="83"/>
      <c r="O16" s="72"/>
      <c r="P16" s="73"/>
      <c r="Q16" s="66"/>
      <c r="R16" s="7"/>
    </row>
    <row r="17" spans="1:18" s="45" customFormat="1" ht="14.25" thickBot="1" x14ac:dyDescent="0.3">
      <c r="A17" s="84"/>
      <c r="B17" s="85" t="s">
        <v>25</v>
      </c>
      <c r="C17" s="86"/>
      <c r="D17" s="86"/>
      <c r="E17" s="87"/>
      <c r="F17" s="87"/>
      <c r="G17" s="88">
        <f>SUM(G9:G15)</f>
        <v>9847.6107395896088</v>
      </c>
      <c r="H17" s="89"/>
      <c r="I17" s="88">
        <f t="shared" ref="I17:N17" si="0">SUM(I9:I15)</f>
        <v>3861.2602454962307</v>
      </c>
      <c r="J17" s="88">
        <f t="shared" si="0"/>
        <v>756.24662289755952</v>
      </c>
      <c r="K17" s="88">
        <f t="shared" si="0"/>
        <v>1796.7433018972683</v>
      </c>
      <c r="L17" s="88">
        <f t="shared" si="0"/>
        <v>2454.8450878400099</v>
      </c>
      <c r="M17" s="88">
        <f t="shared" si="0"/>
        <v>-3.2752036771276787</v>
      </c>
      <c r="N17" s="90">
        <f t="shared" si="0"/>
        <v>981.79068510316654</v>
      </c>
      <c r="O17" s="91"/>
      <c r="P17" s="92"/>
      <c r="Q17" s="93"/>
      <c r="R17" s="35"/>
    </row>
    <row r="18" spans="1:18" s="16" customFormat="1" x14ac:dyDescent="0.25">
      <c r="A18" s="65"/>
      <c r="B18" s="66"/>
      <c r="C18" s="67"/>
      <c r="D18" s="66"/>
      <c r="E18" s="68"/>
      <c r="F18" s="68"/>
      <c r="G18" s="83"/>
      <c r="H18" s="70"/>
      <c r="I18" s="83"/>
      <c r="J18" s="83"/>
      <c r="K18" s="83"/>
      <c r="L18" s="83"/>
      <c r="M18" s="83"/>
      <c r="N18" s="83"/>
      <c r="O18" s="72"/>
      <c r="P18" s="73"/>
      <c r="Q18" s="66"/>
      <c r="R18" s="7"/>
    </row>
    <row r="19" spans="1:18" x14ac:dyDescent="0.25">
      <c r="A19" s="65"/>
      <c r="B19" s="67" t="s">
        <v>26</v>
      </c>
      <c r="C19" s="65"/>
      <c r="D19" s="65"/>
      <c r="E19" s="94"/>
      <c r="F19" s="94"/>
      <c r="G19" s="79"/>
      <c r="H19" s="65"/>
      <c r="I19" s="79"/>
      <c r="J19" s="79"/>
      <c r="K19" s="79"/>
      <c r="L19" s="79"/>
      <c r="M19" s="79"/>
      <c r="N19" s="79"/>
      <c r="O19" s="95"/>
      <c r="P19" s="73"/>
      <c r="Q19" s="65"/>
    </row>
    <row r="20" spans="1:18" s="16" customFormat="1" x14ac:dyDescent="0.25">
      <c r="A20" s="65"/>
      <c r="B20" s="66"/>
      <c r="C20" s="67"/>
      <c r="D20" s="66"/>
      <c r="E20" s="68"/>
      <c r="F20" s="68"/>
      <c r="G20" s="83"/>
      <c r="H20" s="70"/>
      <c r="I20" s="83"/>
      <c r="J20" s="83"/>
      <c r="K20" s="83"/>
      <c r="L20" s="83"/>
      <c r="M20" s="83"/>
      <c r="N20" s="83"/>
      <c r="O20" s="72"/>
      <c r="P20" s="73"/>
      <c r="Q20" s="66"/>
      <c r="R20" s="7"/>
    </row>
    <row r="21" spans="1:18" x14ac:dyDescent="0.25">
      <c r="A21" s="65"/>
      <c r="B21" s="65"/>
      <c r="C21" s="65"/>
      <c r="D21" s="27"/>
      <c r="E21" s="78"/>
      <c r="F21" s="27"/>
      <c r="G21" s="79"/>
      <c r="H21" s="80"/>
      <c r="I21" s="79"/>
      <c r="J21" s="79"/>
      <c r="K21" s="79"/>
      <c r="L21" s="79"/>
      <c r="M21" s="79"/>
      <c r="N21" s="79"/>
      <c r="O21" s="72"/>
      <c r="P21" s="73"/>
      <c r="Q21" s="82"/>
      <c r="R21" s="31"/>
    </row>
    <row r="22" spans="1:18" x14ac:dyDescent="0.25">
      <c r="A22" s="65"/>
      <c r="B22" s="65"/>
      <c r="C22" s="114" t="s">
        <v>34</v>
      </c>
      <c r="D22" s="77" t="s">
        <v>100</v>
      </c>
      <c r="E22" s="77">
        <v>8.9109518565326507E-3</v>
      </c>
      <c r="F22" s="77" t="s">
        <v>33</v>
      </c>
      <c r="G22" s="79">
        <v>3455.0585075741519</v>
      </c>
      <c r="H22" s="80" t="s">
        <v>101</v>
      </c>
      <c r="I22" s="79">
        <v>94.738541359064655</v>
      </c>
      <c r="J22" s="79">
        <v>618.83392737410099</v>
      </c>
      <c r="K22" s="79">
        <v>564.77493901568243</v>
      </c>
      <c r="L22" s="79">
        <v>910.24845152432681</v>
      </c>
      <c r="M22" s="79">
        <v>498.85683248641658</v>
      </c>
      <c r="N22" s="79">
        <v>767.60581581456063</v>
      </c>
      <c r="O22" s="72"/>
      <c r="P22" s="73"/>
      <c r="Q22" s="82"/>
      <c r="R22" s="31"/>
    </row>
    <row r="23" spans="1:18" x14ac:dyDescent="0.25">
      <c r="A23" s="65"/>
      <c r="B23" s="65"/>
      <c r="C23" s="114" t="s">
        <v>27</v>
      </c>
      <c r="D23" s="77" t="s">
        <v>28</v>
      </c>
      <c r="E23" s="77">
        <v>5.4023737319878688E-2</v>
      </c>
      <c r="F23" s="77" t="s">
        <v>102</v>
      </c>
      <c r="G23" s="79">
        <v>2339.5257506084004</v>
      </c>
      <c r="H23" s="80" t="s">
        <v>103</v>
      </c>
      <c r="I23" s="79">
        <v>11.303723129999998</v>
      </c>
      <c r="J23" s="79">
        <v>-7.4683556380023468</v>
      </c>
      <c r="K23" s="79">
        <v>1196.1129783915599</v>
      </c>
      <c r="L23" s="79">
        <v>-2.8411605432212026</v>
      </c>
      <c r="M23" s="79">
        <v>380.21460429011216</v>
      </c>
      <c r="N23" s="79">
        <v>762.20396091955149</v>
      </c>
      <c r="O23" s="72"/>
      <c r="P23" s="73"/>
      <c r="Q23" s="82"/>
      <c r="R23" s="31"/>
    </row>
    <row r="24" spans="1:18" x14ac:dyDescent="0.25">
      <c r="A24" s="65"/>
      <c r="B24" s="65"/>
      <c r="C24" s="114" t="s">
        <v>37</v>
      </c>
      <c r="D24" s="77" t="s">
        <v>28</v>
      </c>
      <c r="E24" s="77">
        <v>4.8415901160982933E-2</v>
      </c>
      <c r="F24" s="77" t="s">
        <v>104</v>
      </c>
      <c r="G24" s="79">
        <v>837.0006854505998</v>
      </c>
      <c r="H24" s="80" t="s">
        <v>105</v>
      </c>
      <c r="I24" s="79">
        <v>7.749275806</v>
      </c>
      <c r="J24" s="79">
        <v>-2.2353157192219033</v>
      </c>
      <c r="K24" s="79">
        <v>589.58977534278711</v>
      </c>
      <c r="L24" s="79">
        <v>-0.59931168401407919</v>
      </c>
      <c r="M24" s="79">
        <v>-0.59931168401407919</v>
      </c>
      <c r="N24" s="79">
        <v>243.09557170105637</v>
      </c>
      <c r="O24" s="72"/>
      <c r="P24" s="73"/>
      <c r="Q24" s="82"/>
      <c r="R24" s="31"/>
    </row>
    <row r="25" spans="1:18" x14ac:dyDescent="0.25">
      <c r="A25" s="65"/>
      <c r="B25" s="65"/>
      <c r="C25" s="114" t="s">
        <v>87</v>
      </c>
      <c r="D25" s="77" t="s">
        <v>106</v>
      </c>
      <c r="E25" s="77">
        <v>0.14580000000000001</v>
      </c>
      <c r="F25" s="77" t="s">
        <v>107</v>
      </c>
      <c r="G25" s="79">
        <v>552.66557841000008</v>
      </c>
      <c r="H25" s="80">
        <v>2027</v>
      </c>
      <c r="I25" s="79">
        <v>52.665578400000001</v>
      </c>
      <c r="J25" s="79">
        <v>500</v>
      </c>
      <c r="K25" s="79">
        <v>0</v>
      </c>
      <c r="L25" s="79">
        <v>0</v>
      </c>
      <c r="M25" s="79">
        <v>0</v>
      </c>
      <c r="N25" s="79">
        <v>0</v>
      </c>
      <c r="O25" s="72"/>
      <c r="P25" s="73"/>
      <c r="Q25" s="82"/>
      <c r="R25" s="31"/>
    </row>
    <row r="26" spans="1:18" x14ac:dyDescent="0.25">
      <c r="A26" s="65"/>
      <c r="B26" s="65"/>
      <c r="C26" s="114" t="s">
        <v>42</v>
      </c>
      <c r="D26" s="77" t="s">
        <v>100</v>
      </c>
      <c r="E26" s="77">
        <v>9.1999999999999998E-3</v>
      </c>
      <c r="F26" s="77" t="s">
        <v>33</v>
      </c>
      <c r="G26" s="79">
        <v>547.5866584900001</v>
      </c>
      <c r="H26" s="80">
        <v>2027</v>
      </c>
      <c r="I26" s="79">
        <v>47.586658010000001</v>
      </c>
      <c r="J26" s="79">
        <v>500</v>
      </c>
      <c r="K26" s="79">
        <v>0</v>
      </c>
      <c r="L26" s="79">
        <v>0</v>
      </c>
      <c r="M26" s="79">
        <v>0</v>
      </c>
      <c r="N26" s="79">
        <v>0</v>
      </c>
      <c r="O26" s="72"/>
      <c r="P26" s="73"/>
      <c r="Q26" s="82"/>
      <c r="R26" s="31"/>
    </row>
    <row r="27" spans="1:18" x14ac:dyDescent="0.25">
      <c r="A27" s="65"/>
      <c r="B27" s="65"/>
      <c r="C27" s="114" t="s">
        <v>39</v>
      </c>
      <c r="D27" s="77" t="s">
        <v>106</v>
      </c>
      <c r="E27" s="77">
        <v>0.11169999999999998</v>
      </c>
      <c r="F27" s="77" t="s">
        <v>97</v>
      </c>
      <c r="G27" s="79">
        <v>513.10276066999722</v>
      </c>
      <c r="H27" s="80">
        <v>2027</v>
      </c>
      <c r="I27" s="79">
        <v>2.6963829899999996</v>
      </c>
      <c r="J27" s="79">
        <v>510.40637753000004</v>
      </c>
      <c r="K27" s="79">
        <v>0</v>
      </c>
      <c r="L27" s="79">
        <v>0</v>
      </c>
      <c r="M27" s="79">
        <v>0</v>
      </c>
      <c r="N27" s="79">
        <v>0</v>
      </c>
      <c r="O27" s="72"/>
      <c r="P27" s="73"/>
      <c r="Q27" s="82"/>
      <c r="R27" s="31"/>
    </row>
    <row r="28" spans="1:18" x14ac:dyDescent="0.25">
      <c r="A28" s="65"/>
      <c r="B28" s="65"/>
      <c r="C28" s="114" t="s">
        <v>43</v>
      </c>
      <c r="D28" s="77" t="s">
        <v>100</v>
      </c>
      <c r="E28" s="77">
        <v>7.000000000000001E-3</v>
      </c>
      <c r="F28" s="77" t="s">
        <v>33</v>
      </c>
      <c r="G28" s="79">
        <v>495.73057688999364</v>
      </c>
      <c r="H28" s="80">
        <v>2027</v>
      </c>
      <c r="I28" s="79">
        <v>4.9249515399999986</v>
      </c>
      <c r="J28" s="79">
        <v>490.80562515999998</v>
      </c>
      <c r="K28" s="79">
        <v>0</v>
      </c>
      <c r="L28" s="79">
        <v>0</v>
      </c>
      <c r="M28" s="79">
        <v>0</v>
      </c>
      <c r="N28" s="79">
        <v>0</v>
      </c>
      <c r="O28" s="72"/>
      <c r="P28" s="73"/>
      <c r="Q28" s="82"/>
      <c r="R28" s="31"/>
    </row>
    <row r="29" spans="1:18" x14ac:dyDescent="0.25">
      <c r="A29" s="65"/>
      <c r="B29" s="65"/>
      <c r="C29" s="114" t="s">
        <v>46</v>
      </c>
      <c r="D29" s="77" t="s">
        <v>28</v>
      </c>
      <c r="E29" s="77">
        <v>6.0137961360287526E-2</v>
      </c>
      <c r="F29" s="77" t="s">
        <v>33</v>
      </c>
      <c r="G29" s="79">
        <v>466.76225775527593</v>
      </c>
      <c r="H29" s="80" t="s">
        <v>73</v>
      </c>
      <c r="I29" s="79">
        <v>4.2029022637606488</v>
      </c>
      <c r="J29" s="79">
        <v>-0.79578594039402017</v>
      </c>
      <c r="K29" s="79">
        <v>62.797214059605984</v>
      </c>
      <c r="L29" s="79">
        <v>133.4415473929393</v>
      </c>
      <c r="M29" s="79">
        <v>133.4415473929393</v>
      </c>
      <c r="N29" s="79">
        <v>133.67483258642469</v>
      </c>
      <c r="O29" s="72"/>
      <c r="P29" s="73"/>
      <c r="Q29" s="82"/>
      <c r="R29" s="31"/>
    </row>
    <row r="30" spans="1:18" x14ac:dyDescent="0.25">
      <c r="A30" s="65"/>
      <c r="B30" s="65"/>
      <c r="C30" s="114" t="s">
        <v>31</v>
      </c>
      <c r="D30" s="77" t="s">
        <v>108</v>
      </c>
      <c r="E30" s="77">
        <v>1.0430999999999999</v>
      </c>
      <c r="F30" s="77" t="s">
        <v>33</v>
      </c>
      <c r="G30" s="79">
        <v>416.32116847999987</v>
      </c>
      <c r="H30" s="80">
        <v>2027</v>
      </c>
      <c r="I30" s="79">
        <v>51.627608649999907</v>
      </c>
      <c r="J30" s="79">
        <v>364.69355982999997</v>
      </c>
      <c r="K30" s="79">
        <v>0</v>
      </c>
      <c r="L30" s="79">
        <v>0</v>
      </c>
      <c r="M30" s="79">
        <v>0</v>
      </c>
      <c r="N30" s="79">
        <v>0</v>
      </c>
      <c r="O30" s="72"/>
      <c r="P30" s="73"/>
      <c r="Q30" s="82"/>
      <c r="R30" s="31"/>
    </row>
    <row r="31" spans="1:18" x14ac:dyDescent="0.25">
      <c r="A31" s="65"/>
      <c r="B31" s="65"/>
      <c r="C31" s="114" t="s">
        <v>44</v>
      </c>
      <c r="D31" s="77" t="s">
        <v>108</v>
      </c>
      <c r="E31" s="77">
        <v>1.0900000000000001</v>
      </c>
      <c r="F31" s="77" t="s">
        <v>33</v>
      </c>
      <c r="G31" s="79">
        <v>206.5944589599988</v>
      </c>
      <c r="H31" s="80" t="s">
        <v>45</v>
      </c>
      <c r="I31" s="79">
        <v>106.59445943999999</v>
      </c>
      <c r="J31" s="79">
        <v>100</v>
      </c>
      <c r="K31" s="79">
        <v>0</v>
      </c>
      <c r="L31" s="79">
        <v>0</v>
      </c>
      <c r="M31" s="79">
        <v>0</v>
      </c>
      <c r="N31" s="79">
        <v>0</v>
      </c>
      <c r="O31" s="72"/>
      <c r="P31" s="73"/>
      <c r="Q31" s="82"/>
      <c r="R31" s="31"/>
    </row>
    <row r="32" spans="1:18" x14ac:dyDescent="0.25">
      <c r="A32" s="65"/>
      <c r="B32" s="65"/>
      <c r="C32" s="114" t="s">
        <v>74</v>
      </c>
      <c r="D32" s="77" t="s">
        <v>28</v>
      </c>
      <c r="E32" s="77">
        <v>2.93E-2</v>
      </c>
      <c r="F32" s="77" t="s">
        <v>109</v>
      </c>
      <c r="G32" s="79">
        <v>192.05405112800011</v>
      </c>
      <c r="H32" s="80" t="s">
        <v>52</v>
      </c>
      <c r="I32" s="79">
        <v>2.2527860560000001</v>
      </c>
      <c r="J32" s="79">
        <v>-0.10905411689189187</v>
      </c>
      <c r="K32" s="79">
        <v>2.329356914955242</v>
      </c>
      <c r="L32" s="79">
        <v>14.521412074190909</v>
      </c>
      <c r="M32" s="79">
        <v>14.521412074190909</v>
      </c>
      <c r="N32" s="79">
        <v>158.5381381235548</v>
      </c>
      <c r="O32" s="72"/>
      <c r="P32" s="73"/>
      <c r="Q32" s="82"/>
      <c r="R32" s="31"/>
    </row>
    <row r="33" spans="1:20" x14ac:dyDescent="0.25">
      <c r="A33" s="65"/>
      <c r="B33" s="65"/>
      <c r="C33" s="114" t="s">
        <v>110</v>
      </c>
      <c r="D33" s="27" t="s">
        <v>100</v>
      </c>
      <c r="E33" s="77">
        <v>2E-3</v>
      </c>
      <c r="F33" s="77" t="s">
        <v>33</v>
      </c>
      <c r="G33" s="79">
        <v>89.083110200000007</v>
      </c>
      <c r="H33" s="80">
        <v>2027</v>
      </c>
      <c r="I33" s="79">
        <v>3.0831102000000001</v>
      </c>
      <c r="J33" s="79">
        <v>86</v>
      </c>
      <c r="K33" s="79">
        <v>0</v>
      </c>
      <c r="L33" s="79">
        <v>0</v>
      </c>
      <c r="M33" s="79">
        <v>0</v>
      </c>
      <c r="N33" s="79">
        <v>0</v>
      </c>
      <c r="O33" s="72"/>
      <c r="P33" s="73"/>
      <c r="Q33" s="82"/>
      <c r="R33" s="31"/>
    </row>
    <row r="34" spans="1:20" x14ac:dyDescent="0.25">
      <c r="A34" s="65"/>
      <c r="B34" s="65"/>
      <c r="C34" s="114" t="s">
        <v>75</v>
      </c>
      <c r="D34" s="77" t="s">
        <v>28</v>
      </c>
      <c r="E34" s="77">
        <v>3.1460000000000002E-2</v>
      </c>
      <c r="F34" s="77" t="s">
        <v>111</v>
      </c>
      <c r="G34" s="79">
        <v>84.462407855000023</v>
      </c>
      <c r="H34" s="80" t="s">
        <v>76</v>
      </c>
      <c r="I34" s="79">
        <v>0.21464223900000018</v>
      </c>
      <c r="J34" s="79">
        <v>-0.13169366976553978</v>
      </c>
      <c r="K34" s="79">
        <v>8.5039316953720778</v>
      </c>
      <c r="L34" s="79">
        <v>9.2889885467482216</v>
      </c>
      <c r="M34" s="79">
        <v>9.2889885467482216</v>
      </c>
      <c r="N34" s="79">
        <v>57.297550500897025</v>
      </c>
      <c r="O34" s="72"/>
      <c r="P34" s="73"/>
      <c r="Q34" s="82"/>
      <c r="R34" s="31"/>
    </row>
    <row r="35" spans="1:20" x14ac:dyDescent="0.25">
      <c r="A35" s="65"/>
      <c r="B35" s="65"/>
      <c r="C35" s="114" t="s">
        <v>48</v>
      </c>
      <c r="D35" s="77" t="s">
        <v>49</v>
      </c>
      <c r="E35" s="77">
        <v>9.9999999999999985E-3</v>
      </c>
      <c r="F35" s="77" t="s">
        <v>33</v>
      </c>
      <c r="G35" s="79">
        <v>27.248931144563205</v>
      </c>
      <c r="H35" s="80" t="s">
        <v>112</v>
      </c>
      <c r="I35" s="79">
        <v>0.10788390971154431</v>
      </c>
      <c r="J35" s="79">
        <v>4.8925034470726336</v>
      </c>
      <c r="K35" s="79">
        <v>4.8925034470726336</v>
      </c>
      <c r="L35" s="79">
        <v>4.8925034470726336</v>
      </c>
      <c r="M35" s="79">
        <v>4.8925034470726336</v>
      </c>
      <c r="N35" s="79">
        <v>7.5711010017094678</v>
      </c>
      <c r="O35" s="72"/>
      <c r="P35" s="73"/>
      <c r="Q35" s="82"/>
      <c r="R35" s="31"/>
    </row>
    <row r="36" spans="1:20" x14ac:dyDescent="0.25">
      <c r="A36" s="65"/>
      <c r="B36" s="65"/>
      <c r="C36" s="114" t="s">
        <v>86</v>
      </c>
      <c r="D36" s="77" t="s">
        <v>106</v>
      </c>
      <c r="E36" s="77">
        <v>9.4E-2</v>
      </c>
      <c r="F36" s="77" t="s">
        <v>113</v>
      </c>
      <c r="G36" s="79">
        <v>22.451260834420701</v>
      </c>
      <c r="H36" s="80" t="s">
        <v>114</v>
      </c>
      <c r="I36" s="79">
        <v>0.11978000442051617</v>
      </c>
      <c r="J36" s="79">
        <v>1.9208467121793111</v>
      </c>
      <c r="K36" s="79">
        <v>1.531153218845978</v>
      </c>
      <c r="L36" s="79">
        <v>1.531153218845978</v>
      </c>
      <c r="M36" s="79">
        <v>1.531153218845978</v>
      </c>
      <c r="N36" s="79">
        <v>15.817174461282935</v>
      </c>
      <c r="O36" s="72"/>
      <c r="P36" s="73"/>
      <c r="Q36" s="82"/>
      <c r="R36" s="31"/>
    </row>
    <row r="37" spans="1:20" x14ac:dyDescent="0.25">
      <c r="A37" s="65"/>
      <c r="B37" s="65"/>
      <c r="C37" s="65"/>
      <c r="D37" s="77"/>
      <c r="E37" s="77"/>
      <c r="F37" s="77"/>
      <c r="G37" s="79"/>
      <c r="H37" s="80"/>
      <c r="I37" s="79"/>
      <c r="J37" s="79"/>
      <c r="K37" s="79"/>
      <c r="L37" s="79"/>
      <c r="M37" s="79"/>
      <c r="N37" s="79"/>
      <c r="O37" s="72"/>
      <c r="P37" s="73"/>
      <c r="Q37" s="82"/>
      <c r="R37" s="31"/>
    </row>
    <row r="38" spans="1:20" s="16" customFormat="1" ht="14.25" thickBot="1" x14ac:dyDescent="0.3">
      <c r="A38" s="65"/>
      <c r="B38" s="66"/>
      <c r="C38" s="67"/>
      <c r="D38" s="66"/>
      <c r="E38" s="68"/>
      <c r="F38" s="68"/>
      <c r="G38" s="83"/>
      <c r="H38" s="70"/>
      <c r="I38" s="83"/>
      <c r="J38" s="83"/>
      <c r="K38" s="83"/>
      <c r="L38" s="83"/>
      <c r="M38" s="83"/>
      <c r="N38" s="83"/>
      <c r="O38" s="72"/>
      <c r="P38" s="73"/>
      <c r="Q38" s="66"/>
      <c r="R38" s="7"/>
    </row>
    <row r="39" spans="1:20" s="45" customFormat="1" ht="14.25" thickBot="1" x14ac:dyDescent="0.3">
      <c r="A39" s="84"/>
      <c r="B39" s="85" t="s">
        <v>53</v>
      </c>
      <c r="C39" s="86"/>
      <c r="D39" s="86"/>
      <c r="E39" s="87"/>
      <c r="F39" s="87"/>
      <c r="G39" s="88">
        <f>SUM(G21:G37)</f>
        <v>10245.6481644504</v>
      </c>
      <c r="H39" s="89"/>
      <c r="I39" s="88">
        <f t="shared" ref="I39:N39" si="1">SUM(I21:I37)</f>
        <v>389.86828399795723</v>
      </c>
      <c r="J39" s="88">
        <f t="shared" si="1"/>
        <v>3166.8126349690774</v>
      </c>
      <c r="K39" s="88">
        <f t="shared" si="1"/>
        <v>2430.5318520858814</v>
      </c>
      <c r="L39" s="88">
        <f t="shared" si="1"/>
        <v>1070.4835839768884</v>
      </c>
      <c r="M39" s="88">
        <f t="shared" si="1"/>
        <v>1042.1477297723118</v>
      </c>
      <c r="N39" s="90">
        <f t="shared" si="1"/>
        <v>2145.8041451090371</v>
      </c>
      <c r="O39" s="91"/>
      <c r="P39" s="92"/>
      <c r="Q39" s="93"/>
      <c r="R39" s="35"/>
    </row>
    <row r="40" spans="1:20" s="16" customFormat="1" x14ac:dyDescent="0.25">
      <c r="A40" s="65"/>
      <c r="B40" s="66"/>
      <c r="C40" s="67"/>
      <c r="D40" s="66"/>
      <c r="E40" s="68"/>
      <c r="F40" s="68"/>
      <c r="G40" s="83"/>
      <c r="H40" s="70"/>
      <c r="I40" s="83"/>
      <c r="J40" s="83"/>
      <c r="K40" s="83"/>
      <c r="L40" s="83"/>
      <c r="M40" s="83"/>
      <c r="N40" s="83"/>
      <c r="O40" s="72"/>
      <c r="P40" s="73"/>
      <c r="Q40" s="66"/>
      <c r="R40" s="7"/>
    </row>
    <row r="41" spans="1:20" s="16" customFormat="1" x14ac:dyDescent="0.25">
      <c r="A41" s="66"/>
      <c r="B41" s="66"/>
      <c r="C41" s="65" t="s">
        <v>54</v>
      </c>
      <c r="D41" s="66"/>
      <c r="E41" s="70"/>
      <c r="F41" s="70"/>
      <c r="G41" s="79">
        <v>580.9158493099186</v>
      </c>
      <c r="H41" s="66"/>
      <c r="I41" s="79">
        <v>246.06402555000003</v>
      </c>
      <c r="J41" s="79">
        <v>50.515208649999977</v>
      </c>
      <c r="K41" s="79">
        <v>19.686121534918726</v>
      </c>
      <c r="L41" s="79">
        <v>236.97427720700006</v>
      </c>
      <c r="M41" s="79">
        <v>0</v>
      </c>
      <c r="N41" s="79">
        <v>27.676216367999924</v>
      </c>
      <c r="O41" s="95"/>
      <c r="P41" s="99"/>
      <c r="Q41" s="66"/>
      <c r="R41" s="7"/>
      <c r="S41" s="7"/>
      <c r="T41" s="7"/>
    </row>
    <row r="42" spans="1:20" s="16" customFormat="1" ht="14.25" thickBot="1" x14ac:dyDescent="0.3">
      <c r="A42" s="65"/>
      <c r="B42" s="66"/>
      <c r="C42" s="67"/>
      <c r="D42" s="66"/>
      <c r="E42" s="68"/>
      <c r="F42" s="68"/>
      <c r="G42" s="83"/>
      <c r="H42" s="70"/>
      <c r="I42" s="83"/>
      <c r="J42" s="83"/>
      <c r="K42" s="83"/>
      <c r="L42" s="83"/>
      <c r="M42" s="83"/>
      <c r="N42" s="83"/>
      <c r="O42" s="72"/>
      <c r="P42" s="73"/>
      <c r="Q42" s="66"/>
      <c r="R42" s="7"/>
    </row>
    <row r="43" spans="1:20" s="45" customFormat="1" ht="14.25" thickBot="1" x14ac:dyDescent="0.3">
      <c r="A43" s="84"/>
      <c r="B43" s="85" t="s">
        <v>55</v>
      </c>
      <c r="C43" s="86"/>
      <c r="D43" s="86"/>
      <c r="E43" s="87"/>
      <c r="F43" s="87"/>
      <c r="G43" s="88">
        <f>G41+G39+G17</f>
        <v>20674.174753349929</v>
      </c>
      <c r="H43" s="89"/>
      <c r="I43" s="88">
        <f t="shared" ref="I43:N43" si="2">+I17+I39+I41</f>
        <v>4497.1925550441883</v>
      </c>
      <c r="J43" s="88">
        <f t="shared" si="2"/>
        <v>3973.5744665166367</v>
      </c>
      <c r="K43" s="88">
        <f t="shared" si="2"/>
        <v>4246.9612755180688</v>
      </c>
      <c r="L43" s="88">
        <f t="shared" si="2"/>
        <v>3762.3029490238982</v>
      </c>
      <c r="M43" s="88">
        <f t="shared" si="2"/>
        <v>1038.8725260951842</v>
      </c>
      <c r="N43" s="90">
        <f t="shared" si="2"/>
        <v>3155.2710465802038</v>
      </c>
      <c r="O43" s="91"/>
      <c r="P43" s="92"/>
      <c r="Q43" s="93"/>
      <c r="R43" s="35"/>
    </row>
    <row r="44" spans="1:20" s="16" customFormat="1" x14ac:dyDescent="0.25">
      <c r="A44" s="66"/>
      <c r="B44" s="67"/>
      <c r="C44" s="66"/>
      <c r="D44" s="66"/>
      <c r="E44" s="70"/>
      <c r="F44" s="70"/>
      <c r="G44" s="83"/>
      <c r="H44" s="66"/>
      <c r="I44" s="83"/>
      <c r="J44" s="83"/>
      <c r="K44" s="83"/>
      <c r="L44" s="83"/>
      <c r="M44" s="83"/>
      <c r="N44" s="83"/>
      <c r="O44" s="95"/>
      <c r="P44" s="99"/>
      <c r="Q44" s="66"/>
      <c r="R44" s="7"/>
      <c r="S44" s="7"/>
      <c r="T44" s="7"/>
    </row>
    <row r="45" spans="1:20" s="56" customFormat="1" x14ac:dyDescent="0.25">
      <c r="A45" s="101"/>
      <c r="B45" s="101"/>
      <c r="C45" s="102" t="s">
        <v>56</v>
      </c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3"/>
      <c r="P45" s="101"/>
      <c r="Q45" s="101"/>
    </row>
    <row r="46" spans="1:20" s="56" customFormat="1" x14ac:dyDescent="0.25">
      <c r="A46" s="101"/>
      <c r="B46" s="104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5"/>
      <c r="P46" s="101"/>
      <c r="Q46" s="101"/>
    </row>
    <row r="47" spans="1:20" s="56" customFormat="1" x14ac:dyDescent="0.25">
      <c r="A47" s="101"/>
      <c r="B47" s="104"/>
      <c r="C47" s="106" t="s">
        <v>115</v>
      </c>
      <c r="D47" s="107"/>
      <c r="E47" s="107"/>
      <c r="F47" s="107"/>
      <c r="G47" s="108"/>
      <c r="H47" s="107"/>
      <c r="I47" s="107"/>
      <c r="J47" s="107"/>
      <c r="K47" s="107"/>
      <c r="L47" s="107"/>
      <c r="M47" s="107"/>
      <c r="N47" s="107"/>
      <c r="O47" s="105"/>
      <c r="P47" s="101"/>
      <c r="Q47" s="101"/>
    </row>
    <row r="48" spans="1:20" s="56" customFormat="1" x14ac:dyDescent="0.25">
      <c r="A48" s="101"/>
      <c r="B48" s="104"/>
      <c r="C48" s="106"/>
      <c r="D48" s="107"/>
      <c r="E48" s="107"/>
      <c r="F48" s="107"/>
      <c r="G48" s="108"/>
      <c r="H48" s="107"/>
      <c r="I48" s="109"/>
      <c r="J48" s="109"/>
      <c r="K48" s="109"/>
      <c r="L48" s="109"/>
      <c r="M48" s="109"/>
      <c r="N48" s="109"/>
      <c r="O48" s="105"/>
      <c r="P48" s="101"/>
      <c r="Q48" s="101"/>
    </row>
    <row r="49" spans="1:17" x14ac:dyDescent="0.25">
      <c r="A49" s="65"/>
      <c r="B49" s="65"/>
      <c r="C49" s="65"/>
      <c r="D49" s="65"/>
      <c r="E49" s="65"/>
      <c r="F49" s="65"/>
      <c r="G49" s="111"/>
      <c r="H49" s="65"/>
      <c r="I49" s="65"/>
      <c r="J49" s="65"/>
      <c r="K49" s="65"/>
      <c r="L49" s="65"/>
      <c r="M49" s="65"/>
      <c r="N49" s="65"/>
      <c r="O49" s="72"/>
      <c r="P49" s="65"/>
      <c r="Q49" s="65"/>
    </row>
  </sheetData>
  <mergeCells count="7">
    <mergeCell ref="C45:N46"/>
    <mergeCell ref="A4:C5"/>
    <mergeCell ref="D4:D5"/>
    <mergeCell ref="E4:E5"/>
    <mergeCell ref="F4:F5"/>
    <mergeCell ref="H4:H5"/>
    <mergeCell ref="I4:N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1T25</vt:lpstr>
      <vt:lpstr>2T25</vt:lpstr>
      <vt:lpstr>3T25</vt:lpstr>
      <vt:lpstr>4T25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Moreira Lopes</dc:creator>
  <cp:lastModifiedBy>Kaique Moreira Lopes</cp:lastModifiedBy>
  <dcterms:created xsi:type="dcterms:W3CDTF">2026-10-23T12:51:59Z</dcterms:created>
  <dcterms:modified xsi:type="dcterms:W3CDTF">2026-10-23T13:06:20Z</dcterms:modified>
</cp:coreProperties>
</file>