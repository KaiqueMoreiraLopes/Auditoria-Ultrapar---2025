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ique.lopes\Documents\"/>
    </mc:Choice>
  </mc:AlternateContent>
  <xr:revisionPtr revIDLastSave="0" documentId="13_ncr:1_{A2E6CEE5-1C92-41CA-B200-B956A93744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dos 2025-2024" sheetId="1" r:id="rId1"/>
    <sheet name="Materialidade" sheetId="2" r:id="rId2"/>
    <sheet name="Matriz de riscos" sheetId="3" r:id="rId3"/>
    <sheet name="Programas de auditoria" sheetId="4" r:id="rId4"/>
    <sheet name="Fontes" sheetId="5" r:id="rId5"/>
    <sheet name="Cobertura NBC TA" sheetId="6" r:id="rId6"/>
    <sheet name="Amostragem SD" sheetId="7" r:id="rId7"/>
  </sheets>
  <definedNames>
    <definedName name="_xlnm._FilterDatabase" localSheetId="6" hidden="1">'Amostragem SD'!$B$2:$D$14</definedName>
    <definedName name="_xlnm._FilterDatabase" localSheetId="5" hidden="1">'Cobertura NBC TA'!$B$2:$E$29</definedName>
    <definedName name="_xlnm._FilterDatabase" localSheetId="4" hidden="1">Fontes!$B$2:$H$11</definedName>
    <definedName name="_xlnm._FilterDatabase" localSheetId="1" hidden="1">Materialidade!$B$2:$F$7</definedName>
    <definedName name="_xlnm._FilterDatabase" localSheetId="2" hidden="1">'Matriz de riscos'!$B$2:$G$10</definedName>
    <definedName name="_xlnm._FilterDatabase" localSheetId="3" hidden="1">'Programas de auditoria'!$B$2:$G$8</definedName>
    <definedName name="_xlnm._FilterDatabase" localSheetId="0" hidden="1">'Saldos 2025-2024'!$B$2:$H$20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D7" i="2"/>
  <c r="E4" i="2"/>
  <c r="D4" i="2"/>
  <c r="D5" i="2" l="1"/>
  <c r="E5" i="2"/>
  <c r="D6" i="2"/>
  <c r="E6" i="2"/>
</calcChain>
</file>

<file path=xl/sharedStrings.xml><?xml version="1.0" encoding="utf-8"?>
<sst xmlns="http://schemas.openxmlformats.org/spreadsheetml/2006/main" count="399" uniqueCount="300">
  <si>
    <t>2025</t>
  </si>
  <si>
    <t>2024</t>
  </si>
  <si>
    <t>R$ mil salvo indicação</t>
  </si>
  <si>
    <t>BP consolidado, DFP p. 15</t>
  </si>
  <si>
    <t>BP consolidado, DFP p. 15; nota 4</t>
  </si>
  <si>
    <t>BP consolidado, DFP p. 15; nota 5</t>
  </si>
  <si>
    <t>BP consolidado, DFP p. 15; nota 6</t>
  </si>
  <si>
    <t>BP consolidado, DFP p. 15; nota 7</t>
  </si>
  <si>
    <t>BP consolidado, DFP p. 15-16</t>
  </si>
  <si>
    <t>BP consolidado, DFP p. 16; nota 13</t>
  </si>
  <si>
    <t>BP consolidado, DFP p. 16; nota 12/13</t>
  </si>
  <si>
    <t>BP consolidado, DFP p. 16; nota 14</t>
  </si>
  <si>
    <t>BP consolidado, DFP p. 16</t>
  </si>
  <si>
    <t>Release 4T25, p. 1; valor arredondado R$ milhões</t>
  </si>
  <si>
    <t>DFP/release 4T25, p. 2; R$ mil</t>
  </si>
  <si>
    <t>Release 4T25, p. 1; valor arredondado R$ bilhões</t>
  </si>
  <si>
    <t>Release 4T25, p. 1; múltiplo divulgado</t>
  </si>
  <si>
    <t>Ativo total 2025</t>
  </si>
  <si>
    <t>DFP consolidada</t>
  </si>
  <si>
    <t>Dado publicado</t>
  </si>
  <si>
    <t>DFP p. 15</t>
  </si>
  <si>
    <t>Materialidade global</t>
  </si>
  <si>
    <t>0,5% do ativo total</t>
  </si>
  <si>
    <t>Percentual didático; não é fixado pela norma</t>
  </si>
  <si>
    <t>Materialidade para execução</t>
  </si>
  <si>
    <t>75% da global</t>
  </si>
  <si>
    <t>Revisar conforme risco</t>
  </si>
  <si>
    <t>Claramente trivial</t>
  </si>
  <si>
    <t>5% da global</t>
  </si>
  <si>
    <t>Limiar didático</t>
  </si>
  <si>
    <t>PA</t>
  </si>
  <si>
    <t>SD</t>
  </si>
  <si>
    <t>PA/SD</t>
  </si>
  <si>
    <t>ID</t>
  </si>
  <si>
    <t>E1</t>
  </si>
  <si>
    <t>23/10/2026</t>
  </si>
  <si>
    <t>E2</t>
  </si>
  <si>
    <t>ITR 4T25</t>
  </si>
  <si>
    <t>E3</t>
  </si>
  <si>
    <t>E4</t>
  </si>
  <si>
    <t>E5</t>
  </si>
  <si>
    <t>E6</t>
  </si>
  <si>
    <t>E7</t>
  </si>
  <si>
    <t>E8</t>
  </si>
  <si>
    <t>CVM</t>
  </si>
  <si>
    <t>E9</t>
  </si>
  <si>
    <t>B3</t>
  </si>
  <si>
    <t>E11</t>
  </si>
  <si>
    <t>E12</t>
  </si>
  <si>
    <t>E13</t>
  </si>
  <si>
    <t>PT EC</t>
  </si>
  <si>
    <t>PT 200</t>
  </si>
  <si>
    <t>NBC TA 200</t>
  </si>
  <si>
    <t>PT 210</t>
  </si>
  <si>
    <t>NBC TA 210</t>
  </si>
  <si>
    <t>PT 220</t>
  </si>
  <si>
    <t>NBC TA 220 (R3)</t>
  </si>
  <si>
    <t>PT 230</t>
  </si>
  <si>
    <t>NBC TA 230</t>
  </si>
  <si>
    <t>PT 240</t>
  </si>
  <si>
    <t>NBC TA 240</t>
  </si>
  <si>
    <t>PT 250</t>
  </si>
  <si>
    <t>NBC TA 250</t>
  </si>
  <si>
    <t>PT 260</t>
  </si>
  <si>
    <t>NBC TA 260 (R2)</t>
  </si>
  <si>
    <t>PT 265</t>
  </si>
  <si>
    <t>NBC TA 265</t>
  </si>
  <si>
    <t>PT 300</t>
  </si>
  <si>
    <t>NBC TA 300</t>
  </si>
  <si>
    <t>PT 315</t>
  </si>
  <si>
    <t>NBC TA 315 (R2)</t>
  </si>
  <si>
    <t>PT 320</t>
  </si>
  <si>
    <t>NBC TA 320</t>
  </si>
  <si>
    <t>PT 330</t>
  </si>
  <si>
    <t>NBC TA 330</t>
  </si>
  <si>
    <t>PT 402</t>
  </si>
  <si>
    <t>NBC TA 402</t>
  </si>
  <si>
    <t>PT 450</t>
  </si>
  <si>
    <t>NBC TA 450</t>
  </si>
  <si>
    <t>PT 500</t>
  </si>
  <si>
    <t>NBC TA 500</t>
  </si>
  <si>
    <t>PT 501</t>
  </si>
  <si>
    <t>NBC TA 501</t>
  </si>
  <si>
    <t>PT 505</t>
  </si>
  <si>
    <t>NBC TA 505</t>
  </si>
  <si>
    <t>PT 510</t>
  </si>
  <si>
    <t>NBC TA 510</t>
  </si>
  <si>
    <t>PT 520</t>
  </si>
  <si>
    <t>NBC TA 520</t>
  </si>
  <si>
    <t>PT 530</t>
  </si>
  <si>
    <t>NBC TA 530</t>
  </si>
  <si>
    <t>PT 540</t>
  </si>
  <si>
    <t>NBC TA 540 (R2)</t>
  </si>
  <si>
    <t>PT 550</t>
  </si>
  <si>
    <t>NBC TA 550</t>
  </si>
  <si>
    <t>PT 560</t>
  </si>
  <si>
    <t>NBC TA 560</t>
  </si>
  <si>
    <t>PT 570</t>
  </si>
  <si>
    <t>NBC TA 570</t>
  </si>
  <si>
    <t>PT 580</t>
  </si>
  <si>
    <t>NBC TA 580</t>
  </si>
  <si>
    <t>PT 600</t>
  </si>
  <si>
    <t>NBC TA 600 (R2)</t>
  </si>
  <si>
    <t>CONTA/INDICADOR</t>
  </si>
  <si>
    <t>ATIVO TOTAL</t>
  </si>
  <si>
    <t>ATIVO CIRCULANTE</t>
  </si>
  <si>
    <t>CAIXA E EQUIVALENTES</t>
  </si>
  <si>
    <t>APLICAÇÕES FINANCEIRAS CIRCULANTES</t>
  </si>
  <si>
    <t>CONTAS A RECEBER (TOTAL CIRCULANTE)</t>
  </si>
  <si>
    <t>CONTAS A RECEBER DE CLIENTES</t>
  </si>
  <si>
    <t>ESTOQUES</t>
  </si>
  <si>
    <t>TRIBUTOS A RECUPERAR CIRCULANTES</t>
  </si>
  <si>
    <t>ATIVO NÃO CIRCULANTE</t>
  </si>
  <si>
    <t>IMOBILIZADO</t>
  </si>
  <si>
    <t>IMOBILIZADO EM OPERAÇÃO</t>
  </si>
  <si>
    <t>DIREITO DE USO</t>
  </si>
  <si>
    <t>INTANGÍVEL</t>
  </si>
  <si>
    <t>INVESTIMENTOS</t>
  </si>
  <si>
    <t>RECEITA LÍQUIDA</t>
  </si>
  <si>
    <t>LUCRO LÍQUIDO</t>
  </si>
  <si>
    <t>FLUXO DE CAIXA OPERACIONAL</t>
  </si>
  <si>
    <t>DÍVIDA LÍQUIDA / EBITDA RECORRENTE</t>
  </si>
  <si>
    <t>VARIAÇÃO ABSOLUTA</t>
  </si>
  <si>
    <t>VARIAÇÃO %</t>
  </si>
  <si>
    <t>UNIDADE</t>
  </si>
  <si>
    <t>FONTE/REFERÊNCIA</t>
  </si>
  <si>
    <t>PARÂMETRO</t>
  </si>
  <si>
    <t>PREMISSA</t>
  </si>
  <si>
    <t>FÓRMULA</t>
  </si>
  <si>
    <t>VALOR R$ MIL</t>
  </si>
  <si>
    <t>OBSERVAÇÃO</t>
  </si>
  <si>
    <t xml:space="preserve">SENSIBILIDADE </t>
  </si>
  <si>
    <t>1% DO ATIVO</t>
  </si>
  <si>
    <t>COMPARAÇÃO DE CENÁRIO</t>
  </si>
  <si>
    <t>CICLO/CONTA</t>
  </si>
  <si>
    <t>RISCO</t>
  </si>
  <si>
    <t>AFIRMAÇÃO</t>
  </si>
  <si>
    <t>EVIDÊNCIA PÚBLICA</t>
  </si>
  <si>
    <t>RESPOSTA PLANEJADA</t>
  </si>
  <si>
    <t>STATUS</t>
  </si>
  <si>
    <t>PROGRAMA</t>
  </si>
  <si>
    <t>PROCEDIMENTO</t>
  </si>
  <si>
    <t>OBJETIVO/AFIRMAÇÃO</t>
  </si>
  <si>
    <t>TIPO</t>
  </si>
  <si>
    <t>EVIDÊNCIA ESPERADA</t>
  </si>
  <si>
    <t>SITUAÇÃO</t>
  </si>
  <si>
    <t>DOCUMENTO</t>
  </si>
  <si>
    <t>EXERCÍCIO</t>
  </si>
  <si>
    <t>PÁGINAS/NOTA</t>
  </si>
  <si>
    <t>DATA DE ACESSO</t>
  </si>
  <si>
    <t>LOCAL/URL</t>
  </si>
  <si>
    <t>USO</t>
  </si>
  <si>
    <t>DFP — DEMONSTRAÇÕES FINANCEIRAS PADRONIZADAS</t>
  </si>
  <si>
    <t>BP CONSOLIDADO PP.15–17; NOTAS; RELATÓRIO AUDITOR P.146</t>
  </si>
  <si>
    <t>HTTPS://WWW.SEC.GOV/ARCHIVES/EDGAR/DATA/1094972/000155485526000796/UGP-20251231.HTM</t>
  </si>
  <si>
    <t>SALDOS, NOTAS E RELATÓRIO AUDITOR</t>
  </si>
  <si>
    <t>RELATÓRIO AUDITOR E DEMONSTRAÇÕES; PÁGINAS DO PDF</t>
  </si>
  <si>
    <t>HTTPS://RI.ULTRA.COM.BR/DIVULGACOES-E-RESULTADOS/CENTRAL-DE-RESULTADOS/</t>
  </si>
  <si>
    <t>FONTE AUXILIAR</t>
  </si>
  <si>
    <t>RELEASE DE RESULTADOS 4T25</t>
  </si>
  <si>
    <t>PP.1–2</t>
  </si>
  <si>
    <t>INDICADORES E EVENTOS</t>
  </si>
  <si>
    <t>FORMULÁRIO DE REFERÊNCIA</t>
  </si>
  <si>
    <t>SEÇÕES CONFORME ÍNDICE</t>
  </si>
  <si>
    <t>HTTPS://WWW.RAD.CVM.GOV.BR/ENET/FRMGERENCIAPAGINAFRE.ASPX?CODIGOTIPOINSTITUICAO=1&amp;NUMEROSEQUENCIALDOCUMENTO=155064</t>
  </si>
  <si>
    <t>RISCOS, GOVERNANÇA, GRUPO</t>
  </si>
  <si>
    <t>INFORME DE GOVERNANÇA CORPORATIVA</t>
  </si>
  <si>
    <t>DOCUMENTO INTEGRAL</t>
  </si>
  <si>
    <t>GOVERNANÇA</t>
  </si>
  <si>
    <t>RELATÓRIO DE SUSTENTABILIDADE</t>
  </si>
  <si>
    <t>CONTEXTO E RISCOS ESG</t>
  </si>
  <si>
    <t>RI ULTRAPAR</t>
  </si>
  <si>
    <t>PÁGINA DE DOCUMENTOS</t>
  </si>
  <si>
    <t>HTTPS://RI.ULTRA.COM.BR/</t>
  </si>
  <si>
    <t>VALIDAR FONTE OFICIAL</t>
  </si>
  <si>
    <t>CONSULTA DFP</t>
  </si>
  <si>
    <t>HTTPS://WWW.GOV.BR/CVM/PT-BR</t>
  </si>
  <si>
    <t>VALIDAR DOCUMENTOS REGULATÓRIOS</t>
  </si>
  <si>
    <t>CONSULTA EMISSOR UGPA3</t>
  </si>
  <si>
    <t>HTTPS://WWW.B3.COM.BR/</t>
  </si>
  <si>
    <t>VALIDAR DADOS DO EMISSOR</t>
  </si>
  <si>
    <t>CENTRAL DE RESULTADOS — RI ULTRAPAR</t>
  </si>
  <si>
    <t>CENTRAL DE RESULTADOS; SELECIONAR DOCUMENTOS DO EXERCÍCIO 2025</t>
  </si>
  <si>
    <t>FONTE OFICIAL DOS RELEASES E DOCUMENTOS DISPONIBILIZADOS PELA COMPANHIA</t>
  </si>
  <si>
    <t>ANNUAL REPORT / FORM 20-F — SEC</t>
  </si>
  <si>
    <t>FILING DATED 2025-12-31; CONSULTAR PÁGINAS/SEÇÕES PERTINENTES</t>
  </si>
  <si>
    <t>FONTE PÚBLICA PARA DEMONSTRAÇÕES E DIVULGAÇÕES ANUAIS</t>
  </si>
  <si>
    <t>FORMULÁRIO DE REFERÊNCIA — CVM/ENET</t>
  </si>
  <si>
    <t>DOCUMENTO SEQUENCIAL 155064; SEÇÕES CONFORME ÍNDICE</t>
  </si>
  <si>
    <t>FONTE PÚBLICA PARA RISCOS, GOVERNANÇA E INFORMAÇÕES DA COMPANHIA</t>
  </si>
  <si>
    <t>PAPEL</t>
  </si>
  <si>
    <t>NORMA</t>
  </si>
  <si>
    <t>COBERTURA</t>
  </si>
  <si>
    <t>STATUS PREDOMINANTE</t>
  </si>
  <si>
    <t>ESTRUTURA CONCEITUAL</t>
  </si>
  <si>
    <t>CARACTERIZAR TRABALHO DIDÁTICO, USUÁRIOS, OBJETO, CRITÉRIOS, RESPONSABILIDADES, EVIDÊNCIA E ASSEGURAÇÃO; DISTINGUIR AUDITORIA DE OUTROS TRABALHOS.</t>
  </si>
  <si>
    <t>EP/PA; SD QUANDO INDICADO</t>
  </si>
  <si>
    <t>ÉTICA, INDEPENDÊNCIA, CETICISMO, JULGAMENTO, RISCO DE AUDITORIA E SEGURANÇA RAZOÁVEL.</t>
  </si>
  <si>
    <t>CARTA DE CONTRATAÇÃO DIDÁTICA; OBJETIVOS, ALCANCE, RESPONSABILIDADES, ESTRUTURA DE RELATÓRIO E PRECONDIÇÕES.</t>
  </si>
  <si>
    <t>DIREÇÃO, SUPERVISÃO, REVISÃO, CONSULTAS, RECURSOS E RISCOS À QUALIDADE; REVISÃO REAL DE TERCEIRO NÃO SIMULADA.</t>
  </si>
  <si>
    <t>ÍNDICE, CODIFICAÇÃO, REFERÊNCIAS CRUZADAS, VERSÕES E MONTAGEM/GUARDA DO ARQUIVO.</t>
  </si>
  <si>
    <t>RISCOS DE FRAUDE, RECONHECIMENTO DE RECEITA E BURLA DE CONTROLES; LANÇAMENTOS E RESPOSTAS.</t>
  </si>
  <si>
    <t>OBRIGAÇÕES LEGAIS/REGULATÓRIAS, RISCOS DE DESCUMPRIMENTO E RESPOSTA A INDÍCIOS.</t>
  </si>
  <si>
    <t>COMUNICAÇÃO PLANEJADA À GOVERNANÇA: ALCANCE, ÉPOCA, RISCOS, INDEPENDÊNCIA E DIFICULDADES.</t>
  </si>
  <si>
    <t>MATRIZ CONDIÇÃO/CRITÉRIO/CAUSA/EFEITO/RECOMENDAÇÃO; HIPÓTESES SEPARADAS DE ACHADOS EVIDENCIADOS.</t>
  </si>
  <si>
    <t>ESTRATÉGIA GLOBAL, PLANO, CRONOGRAMA E PROGRAMAS POR CICLO.</t>
  </si>
  <si>
    <t>ENTIDADE, AMBIENTE, CONTABILIDADE, TI, CONTROLES E MATRIZ DE RISCO POR CONTA/AFIRMAÇÃO.</t>
  </si>
  <si>
    <t>MATERIALIDADE GLOBAL, EXECUÇÃO E ESPECÍFICA, BASES/PERCENTUAIS E REVISÃO.</t>
  </si>
  <si>
    <t>VINCULAR RISCOS A TESTES DE CONTROLE E SUBSTANTIVOS; NATUREZA, ÉPOCA, EXTENSÃO.</t>
  </si>
  <si>
    <t>SERVIÇOS TERCEIRIZADOS, CONTROLES COMPLEMENTARES, RELATÓRIOS TIPO 1/2 E ALTERNATIVAS.</t>
  </si>
  <si>
    <t>MAPA DE DISTORÇÕES PÚBLICAS/SIMULADAS, CORRIGIDAS/NÃO CORRIGIDAS E EFEITOS.</t>
  </si>
  <si>
    <t>RELEVÂNCIA, CONFIABILIDADE, SUFICIÊNCIA, RECONCILIAÇÃO E LIMITAÇÕES.</t>
  </si>
  <si>
    <t>PROCEDIMENTOS PARA ESTOQUES, LITÍGIOS E SEGMENTOS, CONFORME EVIDÊNCIA DISPONÍVEL.</t>
  </si>
  <si>
    <t>MODELOS E CONTROLE DE CONFIRMAÇÕES; NENHUMA SOLICITAÇÃO REAL ENVIADA.</t>
  </si>
  <si>
    <t>AUDITORIA INICIAL DIDÁTICA, SALDOS DE ABERTURA, POLÍTICAS E RELATÓRIO ANTERIOR.</t>
  </si>
  <si>
    <t>EXPECTATIVAS, PRECISÃO, LIMITES, RELAÇÕES/VARIAÇÕES E INVESTIGAÇÃO.</t>
  </si>
  <si>
    <t>POPULAÇÃO, UNIDADE, MÉTODO, TAMANHO, SELEÇÃO, RISCO AMOSTRAL E EXCEÇÕES SINTÉTICAS.</t>
  </si>
  <si>
    <t>ESTIMATIVA, MÉTODO, PREMISSAS, DADOS, INCERTEZA, VIÉS E SENSIBILIDADE.</t>
  </si>
  <si>
    <t>VÍNCULOS, SALDOS, TRANSAÇÕES E DIVULGAÇÕES DE PARTES RELACIONADAS.</t>
  </si>
  <si>
    <t>DATA DE CORTE E EVENTOS POSTERIORES; AJUSTAR VERSUS DIVULGAR.</t>
  </si>
  <si>
    <t>LIQUIDEZ, ENDIVIDAMENTO, CAIXA, EVENTOS ADVERSOS E CONTINUIDADE.</t>
  </si>
  <si>
    <t>MINUTA DIDÁTICA DE REPRESENTAÇÕES; NÃO SUBSTITUI OUTRAS EVIDÊNCIAS.</t>
  </si>
  <si>
    <t>GRUPO, COMPONENTES, CONSOLIDAÇÃO, MATERIALIDADE E AUDITORES DE COMPONENTES.</t>
  </si>
  <si>
    <t>VALOR</t>
  </si>
  <si>
    <t>COMENTÁRIO</t>
  </si>
  <si>
    <t>POPULAÇÃO</t>
  </si>
  <si>
    <t>500000</t>
  </si>
  <si>
    <t>REGISTROS SINTÉTICOS ÚNICOS</t>
  </si>
  <si>
    <t>TAMANHO AMOSTRA DEMONSTRATIVA</t>
  </si>
  <si>
    <t>200</t>
  </si>
  <si>
    <t>ESCOLHA DIDÁTICA; NÃO É TAMANHO NORMATIVO UNIVERSAL</t>
  </si>
  <si>
    <t>EXCEÇÕES INSERIDAS</t>
  </si>
  <si>
    <t>9</t>
  </si>
  <si>
    <t>MANIFESTO EM BASE_SINTETICA/MANIFESTO_EXCECOES_SINTETICAS.CSV</t>
  </si>
  <si>
    <t>MÉTODO</t>
  </si>
  <si>
    <t>ALEATÓRIA REPRODUTÍVEL</t>
  </si>
  <si>
    <t>SEED FIXA; SCRIPT EM CODIGO/TESTES_AUDITORIA.PY</t>
  </si>
  <si>
    <t>PROJEÇÃO PARA ULTRAPAR</t>
  </si>
  <si>
    <t>NÃO APLICÁVEL</t>
  </si>
  <si>
    <t>BASE NÃO É POPULAÇÃO REAL; NÃO PROJETAR AO SALDO REAL</t>
  </si>
  <si>
    <t>AQUISIÇÕES/INTEGRAÇÃO HIDROVIAS, CAPITALIZAÇÃO INDEVIDA, EXISTÊNCIA</t>
  </si>
  <si>
    <t>EXISTÊNCIA, AVALIAÇÃO, DIREITOS, CORTE</t>
  </si>
  <si>
    <t>DFP P.16; NOTA 13 P.93</t>
  </si>
  <si>
    <t>RECONCILIAR CADASTRO-RAZÃO, TESTAR ADIÇÕES/BAIXAS, INSPEÇÃO FÍSICA</t>
  </si>
  <si>
    <t>OBSOLESCÊNCIA E VALOR REALIZÁVEL LÍQUIDO</t>
  </si>
  <si>
    <t>AVALIAÇÃO, EXISTÊNCIA</t>
  </si>
  <si>
    <t>DFP P.15; NOTA 6 P.70</t>
  </si>
  <si>
    <t>INVENTÁRIO FÍSICO E TESTE DE PREÇO/OBSOLESCÊNCIA</t>
  </si>
  <si>
    <t>RECEITA</t>
  </si>
  <si>
    <t>RECONHECIMENTO/CORTE E RISCO DE FRAUDE</t>
  </si>
  <si>
    <t>OCORRÊNCIA, CORTE, EXATIDÃO</t>
  </si>
  <si>
    <t>DRE E NOTA 21</t>
  </si>
  <si>
    <t>TESTE DE LANÇAMENTOS, CONTRATOS, FATURAMENTO E ENTREGA</t>
  </si>
  <si>
    <t>RECEBÍVEIS</t>
  </si>
  <si>
    <t>PERDAS ESPERADAS INADEQUADAS</t>
  </si>
  <si>
    <t>NOTA 5 P.69</t>
  </si>
  <si>
    <t>RECALCULAR MODELO, RECEBIMENTOS SUBSEQUENTES E AGING</t>
  </si>
  <si>
    <t>TRIBUTOS A RECUPERAR</t>
  </si>
  <si>
    <t>RECUPERABILIDADE E DOCUMENTAÇÃO</t>
  </si>
  <si>
    <t>EXISTÊNCIA, AVALIAÇÃO</t>
  </si>
  <si>
    <t>DFP P.15-16; NOTA 7</t>
  </si>
  <si>
    <t>INSPECIONAR APURAÇÕES, HOMOLOGAÇÕES E REALIZAÇÃO</t>
  </si>
  <si>
    <t>CONSOLIDAÇÃO/GRUPO</t>
  </si>
  <si>
    <t>PERÍMETRO, ELIMINAÇÕES E AQUISIÇÃO HIDROVIAS</t>
  </si>
  <si>
    <t>INTEGRIDADE, APRESENTAÇÃO</t>
  </si>
  <si>
    <t>RELEASE 4T25; NOTAS DE COMBINAÇÃO</t>
  </si>
  <si>
    <t>TESTAR CONSOLIDAÇÃO E INFORMAÇÃO DE COMPONENTES</t>
  </si>
  <si>
    <t>ESTIMATIVAS</t>
  </si>
  <si>
    <t>VIÉS EM VIDAS ÚTEIS/IMPAIRMENT/PROVISÕES</t>
  </si>
  <si>
    <t>AVALIAÇÃO, DIVULGAÇÃO</t>
  </si>
  <si>
    <t>NOTA 13 E NOTA 18</t>
  </si>
  <si>
    <t>SENSIBILIDADE, RETROSPECTIVA E DADOS-BASE</t>
  </si>
  <si>
    <t>BASE SINTÉTICA</t>
  </si>
  <si>
    <t>EXCEÇÕES INSERIDAS CONTROLADAMENTE</t>
  </si>
  <si>
    <t>VÁRIAS</t>
  </si>
  <si>
    <t>S-IMOB E MANIFESTO</t>
  </si>
  <si>
    <t>EXECUTAR TESTES DE EXCEÇÕES</t>
  </si>
  <si>
    <t>RECEITAS</t>
  </si>
  <si>
    <t>ANALÍTICA MENSAL, TESTE DE CORTE, LANÇAMENTOS MANUAIS, AMOSTRA DE FATURAS E ENTREGA</t>
  </si>
  <si>
    <t>OCORRÊNCIA, EXATIDÃO, CORTE</t>
  </si>
  <si>
    <t>FATURAS, PEDIDOS, COMPROVANTES DE ENTREGA, RECEBIMENTOS</t>
  </si>
  <si>
    <t>NÃO EXECUTADO EM DADOS REAIS</t>
  </si>
  <si>
    <t>DISPONIBILIDADES</t>
  </si>
  <si>
    <t>CONCILIAÇÃO BANCÁRIA, EXTRATOS EXTERNOS, TESTE DE APLICAÇÕES E CORTE</t>
  </si>
  <si>
    <t>EXISTÊNCIA, DIREITOS, EXATIDÃO</t>
  </si>
  <si>
    <t>EXTRATOS BANCÁRIOS, CONFIRMAÇÕES, CONCILIAÇÕES</t>
  </si>
  <si>
    <t>CONTAGEM FÍSICA, TESTE DE CUSTO MÉDIO, VNR E OBSOLESCÊNCIA</t>
  </si>
  <si>
    <t>CONTAGEM, NOTAS FISCAIS, PREÇO DE VENDA E CUSTOS</t>
  </si>
  <si>
    <t>RECONCILIAR CADASTRO/RAZÃO, TESTAR ADIÇÕES/BAIXAS, DEPRECIAÇÃO E IMPAIRMENT</t>
  </si>
  <si>
    <t>EXISTÊNCIA, DIREITOS, AVALIAÇÃO, CORTE</t>
  </si>
  <si>
    <t>CADASTRO REAL; DOCUMENTOS; BASE SINTÉTICA PARA SIMULAÇÃO</t>
  </si>
  <si>
    <t>SOMENTE TESTES SD NA BASE</t>
  </si>
  <si>
    <t>PASSIVOS</t>
  </si>
  <si>
    <t>BUSCA DE PASSIVOS NÃO REGISTRADOS, PAGAMENTOS SUBSEQUENTES, CONTRATOS E CIRCULARIZAÇÃO</t>
  </si>
  <si>
    <t>INTEGRIDADE, OBRIGAÇÃO, CORTE</t>
  </si>
  <si>
    <t>FATURAS, PAGAMENTOS, CONTRATOS, RESPOSTAS EXTERNAS</t>
  </si>
  <si>
    <t>TESTAR MÉTODO, PREMISSAS, DADOS E SENSIBILIDADE</t>
  </si>
  <si>
    <t>AVALIAÇÃO E DIVULGAÇÃO</t>
  </si>
  <si>
    <t>MEMÓRIAS DE CÁLCULO E CENÁRIOS HIPOTÉTICOS</t>
  </si>
  <si>
    <t>ANÁLISE QUALITATIVA; SIMULAÇÃO IDENTIFICADA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</si>
</sst>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44" formatCode="_-&quot;R$&quot;\ * #,##0.00_-;\-&quot;R$&quot;\ * #,##0.00_-;_-&quot;R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14"/>
      <color theme="3" tint="-0.249977111117893"/>
      <name val="Verdana"/>
      <family val="2"/>
    </font>
    <font>
      <sz val="14"/>
      <color theme="1"/>
      <name val="Verdana"/>
      <family val="2"/>
    </font>
    <font>
      <b/>
      <sz val="14"/>
      <color theme="0"/>
      <name val="Verdana"/>
      <family val="2"/>
    </font>
    <font>
      <sz val="14"/>
      <color theme="3" tint="-0.249977111117893"/>
      <name val="Verdana"/>
      <family val="2"/>
    </font>
    <font>
      <b/>
      <sz val="14"/>
      <color theme="2" tint="-0.89999084444715716"/>
      <name val="Verdana"/>
      <family val="2"/>
    </font>
    <font>
      <sz val="14"/>
      <color theme="1"/>
      <name val="Calibri"/>
      <family val="2"/>
      <scheme val="minor"/>
    </font>
    <font>
      <b/>
      <sz val="14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wrapText="1" indent="1"/>
    </xf>
    <xf numFmtId="44" fontId="4" fillId="3" borderId="1" xfId="1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 indent="1"/>
    </xf>
    <xf numFmtId="44" fontId="4" fillId="4" borderId="1" xfId="1" applyFont="1" applyFill="1" applyBorder="1" applyAlignment="1">
      <alignment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44" fontId="6" fillId="2" borderId="1" xfId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left" vertical="center" wrapText="1" indent="1"/>
    </xf>
    <xf numFmtId="10" fontId="4" fillId="3" borderId="1" xfId="0" applyNumberFormat="1" applyFont="1" applyFill="1" applyBorder="1" applyAlignment="1">
      <alignment horizontal="left" vertical="center" wrapText="1" indent="1"/>
    </xf>
    <xf numFmtId="0" fontId="7" fillId="3" borderId="1" xfId="0" applyFont="1" applyFill="1" applyBorder="1" applyAlignment="1">
      <alignment horizontal="left" vertical="center" wrapText="1" indent="1"/>
    </xf>
    <xf numFmtId="10" fontId="4" fillId="4" borderId="1" xfId="0" applyNumberFormat="1" applyFont="1" applyFill="1" applyBorder="1" applyAlignment="1">
      <alignment horizontal="left" vertical="center" wrapText="1" indent="1"/>
    </xf>
    <xf numFmtId="0" fontId="7" fillId="4" borderId="1" xfId="0" applyFont="1" applyFill="1" applyBorder="1" applyAlignment="1">
      <alignment horizontal="left" vertical="center" wrapText="1" indent="1"/>
    </xf>
    <xf numFmtId="0" fontId="9" fillId="0" borderId="0" xfId="0" applyFont="1"/>
    <xf numFmtId="0" fontId="5" fillId="0" borderId="0" xfId="0" applyFont="1" applyAlignment="1">
      <alignment horizontal="center" vertical="center"/>
    </xf>
    <xf numFmtId="0" fontId="10" fillId="0" borderId="0" xfId="0" applyFont="1"/>
    <xf numFmtId="44" fontId="4" fillId="3" borderId="1" xfId="1" applyFont="1" applyFill="1" applyBorder="1" applyAlignment="1">
      <alignment horizontal="center" vertical="center" wrapText="1"/>
    </xf>
    <xf numFmtId="44" fontId="4" fillId="4" borderId="1" xfId="1" applyFont="1" applyFill="1" applyBorder="1" applyAlignment="1">
      <alignment horizontal="center" vertical="center" wrapText="1"/>
    </xf>
    <xf numFmtId="44" fontId="4" fillId="3" borderId="1" xfId="1" applyFont="1" applyFill="1" applyBorder="1" applyAlignment="1">
      <alignment horizontal="left" vertical="center" wrapText="1" indent="1"/>
    </xf>
    <xf numFmtId="44" fontId="4" fillId="4" borderId="1" xfId="1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6" fontId="4" fillId="3" borderId="1" xfId="1" applyNumberFormat="1" applyFont="1" applyFill="1" applyBorder="1" applyAlignment="1">
      <alignment vertical="center" wrapText="1"/>
    </xf>
    <xf numFmtId="6" fontId="4" fillId="4" borderId="1" xfId="1" applyNumberFormat="1" applyFont="1" applyFill="1" applyBorder="1" applyAlignment="1">
      <alignment vertical="center" wrapText="1"/>
    </xf>
    <xf numFmtId="0" fontId="10" fillId="0" borderId="0" xfId="0" applyFont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1"/>
  <sheetViews>
    <sheetView showGridLines="0" tabSelected="1" zoomScale="55" zoomScaleNormal="55" workbookViewId="0">
      <pane ySplit="2" topLeftCell="A3" activePane="bottomLeft" state="frozen"/>
      <selection pane="bottomLeft" activeCell="D21" sqref="D21"/>
    </sheetView>
  </sheetViews>
  <sheetFormatPr defaultRowHeight="14.25" x14ac:dyDescent="0.2"/>
  <cols>
    <col min="1" max="1" width="1.140625" style="1" customWidth="1"/>
    <col min="2" max="2" width="86.5703125" style="2" customWidth="1"/>
    <col min="3" max="3" width="34.5703125" style="1" bestFit="1" customWidth="1"/>
    <col min="4" max="4" width="32.42578125" style="1" bestFit="1" customWidth="1"/>
    <col min="5" max="5" width="30.7109375" style="1" bestFit="1" customWidth="1"/>
    <col min="6" max="6" width="21.5703125" style="13" customWidth="1"/>
    <col min="7" max="7" width="22.85546875" style="3" customWidth="1"/>
    <col min="8" max="8" width="44.140625" style="3" customWidth="1"/>
    <col min="9" max="16384" width="9.140625" style="1"/>
  </cols>
  <sheetData>
    <row r="1" spans="2:8" ht="6" customHeight="1" thickBot="1" x14ac:dyDescent="0.25"/>
    <row r="2" spans="2:8" s="14" customFormat="1" ht="47.25" customHeight="1" thickBot="1" x14ac:dyDescent="0.3">
      <c r="B2" s="15" t="s">
        <v>103</v>
      </c>
      <c r="C2" s="15" t="s">
        <v>0</v>
      </c>
      <c r="D2" s="15" t="s">
        <v>1</v>
      </c>
      <c r="E2" s="15" t="s">
        <v>122</v>
      </c>
      <c r="F2" s="15" t="s">
        <v>123</v>
      </c>
      <c r="G2" s="15" t="s">
        <v>124</v>
      </c>
      <c r="H2" s="15" t="s">
        <v>125</v>
      </c>
    </row>
    <row r="3" spans="2:8" s="4" customFormat="1" ht="40.5" customHeight="1" thickBot="1" x14ac:dyDescent="0.3">
      <c r="B3" s="17" t="s">
        <v>104</v>
      </c>
      <c r="C3" s="8">
        <v>49348994</v>
      </c>
      <c r="D3" s="8">
        <v>39558074</v>
      </c>
      <c r="E3" s="8">
        <v>9790920</v>
      </c>
      <c r="F3" s="11">
        <v>0.24750749998596999</v>
      </c>
      <c r="G3" s="7" t="s">
        <v>2</v>
      </c>
      <c r="H3" s="7" t="s">
        <v>3</v>
      </c>
    </row>
    <row r="4" spans="2:8" s="4" customFormat="1" ht="40.5" customHeight="1" thickBot="1" x14ac:dyDescent="0.3">
      <c r="B4" s="18" t="s">
        <v>105</v>
      </c>
      <c r="C4" s="10">
        <v>19176470</v>
      </c>
      <c r="D4" s="10">
        <v>16047721</v>
      </c>
      <c r="E4" s="10">
        <v>3128749</v>
      </c>
      <c r="F4" s="12">
        <v>0.19496531625892549</v>
      </c>
      <c r="G4" s="9" t="s">
        <v>2</v>
      </c>
      <c r="H4" s="9" t="s">
        <v>3</v>
      </c>
    </row>
    <row r="5" spans="2:8" s="4" customFormat="1" ht="40.5" customHeight="1" thickBot="1" x14ac:dyDescent="0.3">
      <c r="B5" s="17" t="s">
        <v>106</v>
      </c>
      <c r="C5" s="8">
        <v>3175125</v>
      </c>
      <c r="D5" s="8">
        <v>2071593</v>
      </c>
      <c r="E5" s="8">
        <v>1103532</v>
      </c>
      <c r="F5" s="11">
        <v>0.53269730106251567</v>
      </c>
      <c r="G5" s="7" t="s">
        <v>2</v>
      </c>
      <c r="H5" s="7" t="s">
        <v>4</v>
      </c>
    </row>
    <row r="6" spans="2:8" s="4" customFormat="1" ht="40.5" customHeight="1" thickBot="1" x14ac:dyDescent="0.3">
      <c r="B6" s="18" t="s">
        <v>107</v>
      </c>
      <c r="C6" s="10">
        <v>3851758</v>
      </c>
      <c r="D6" s="10">
        <v>2306927</v>
      </c>
      <c r="E6" s="10">
        <v>1544831</v>
      </c>
      <c r="F6" s="12">
        <v>0.66964884454514595</v>
      </c>
      <c r="G6" s="9" t="s">
        <v>2</v>
      </c>
      <c r="H6" s="9" t="s">
        <v>4</v>
      </c>
    </row>
    <row r="7" spans="2:8" s="4" customFormat="1" ht="40.5" customHeight="1" thickBot="1" x14ac:dyDescent="0.3">
      <c r="B7" s="17" t="s">
        <v>108</v>
      </c>
      <c r="C7" s="8">
        <v>4572038</v>
      </c>
      <c r="D7" s="8">
        <v>4350429</v>
      </c>
      <c r="E7" s="8">
        <v>221609</v>
      </c>
      <c r="F7" s="11">
        <v>5.093957400523029E-2</v>
      </c>
      <c r="G7" s="7" t="s">
        <v>2</v>
      </c>
      <c r="H7" s="7" t="s">
        <v>5</v>
      </c>
    </row>
    <row r="8" spans="2:8" s="4" customFormat="1" ht="40.5" customHeight="1" thickBot="1" x14ac:dyDescent="0.3">
      <c r="B8" s="18" t="s">
        <v>109</v>
      </c>
      <c r="C8" s="10">
        <v>3703954</v>
      </c>
      <c r="D8" s="10">
        <v>3540266</v>
      </c>
      <c r="E8" s="10">
        <v>163688</v>
      </c>
      <c r="F8" s="12">
        <v>4.6236073786545977E-2</v>
      </c>
      <c r="G8" s="9" t="s">
        <v>2</v>
      </c>
      <c r="H8" s="9" t="s">
        <v>5</v>
      </c>
    </row>
    <row r="9" spans="2:8" s="4" customFormat="1" ht="40.5" customHeight="1" thickBot="1" x14ac:dyDescent="0.3">
      <c r="B9" s="17" t="s">
        <v>110</v>
      </c>
      <c r="C9" s="8">
        <v>4244164</v>
      </c>
      <c r="D9" s="8">
        <v>3917076</v>
      </c>
      <c r="E9" s="8">
        <v>327088</v>
      </c>
      <c r="F9" s="11">
        <v>8.350310282465799E-2</v>
      </c>
      <c r="G9" s="7" t="s">
        <v>2</v>
      </c>
      <c r="H9" s="7" t="s">
        <v>6</v>
      </c>
    </row>
    <row r="10" spans="2:8" s="4" customFormat="1" ht="40.5" customHeight="1" thickBot="1" x14ac:dyDescent="0.3">
      <c r="B10" s="18" t="s">
        <v>111</v>
      </c>
      <c r="C10" s="10">
        <v>2003389</v>
      </c>
      <c r="D10" s="10">
        <v>2191938</v>
      </c>
      <c r="E10" s="10">
        <v>-188549</v>
      </c>
      <c r="F10" s="12">
        <v>-8.6019312590045888E-2</v>
      </c>
      <c r="G10" s="9" t="s">
        <v>2</v>
      </c>
      <c r="H10" s="9" t="s">
        <v>7</v>
      </c>
    </row>
    <row r="11" spans="2:8" s="4" customFormat="1" ht="40.5" customHeight="1" thickBot="1" x14ac:dyDescent="0.3">
      <c r="B11" s="17" t="s">
        <v>112</v>
      </c>
      <c r="C11" s="8">
        <v>30172524</v>
      </c>
      <c r="D11" s="8">
        <v>23510353</v>
      </c>
      <c r="E11" s="8">
        <v>6662171</v>
      </c>
      <c r="F11" s="11">
        <v>0.28337179794790829</v>
      </c>
      <c r="G11" s="7" t="s">
        <v>2</v>
      </c>
      <c r="H11" s="7" t="s">
        <v>8</v>
      </c>
    </row>
    <row r="12" spans="2:8" s="4" customFormat="1" ht="40.5" customHeight="1" thickBot="1" x14ac:dyDescent="0.3">
      <c r="B12" s="18" t="s">
        <v>113</v>
      </c>
      <c r="C12" s="10">
        <v>14095791</v>
      </c>
      <c r="D12" s="10">
        <v>8807290</v>
      </c>
      <c r="E12" s="10">
        <v>5288501</v>
      </c>
      <c r="F12" s="12">
        <v>0.60046858908926581</v>
      </c>
      <c r="G12" s="9" t="s">
        <v>2</v>
      </c>
      <c r="H12" s="9" t="s">
        <v>9</v>
      </c>
    </row>
    <row r="13" spans="2:8" s="4" customFormat="1" ht="40.5" customHeight="1" thickBot="1" x14ac:dyDescent="0.3">
      <c r="B13" s="17" t="s">
        <v>114</v>
      </c>
      <c r="C13" s="8">
        <v>12167097</v>
      </c>
      <c r="D13" s="8">
        <v>7135966</v>
      </c>
      <c r="E13" s="8">
        <v>5031131</v>
      </c>
      <c r="F13" s="11">
        <v>0.70503853297507302</v>
      </c>
      <c r="G13" s="7" t="s">
        <v>2</v>
      </c>
      <c r="H13" s="7" t="s">
        <v>9</v>
      </c>
    </row>
    <row r="14" spans="2:8" s="4" customFormat="1" ht="40.5" customHeight="1" thickBot="1" x14ac:dyDescent="0.3">
      <c r="B14" s="18" t="s">
        <v>115</v>
      </c>
      <c r="C14" s="10">
        <v>1928694</v>
      </c>
      <c r="D14" s="10">
        <v>1671324</v>
      </c>
      <c r="E14" s="10">
        <v>257370</v>
      </c>
      <c r="F14" s="12">
        <v>0.1539916856336653</v>
      </c>
      <c r="G14" s="9" t="s">
        <v>2</v>
      </c>
      <c r="H14" s="9" t="s">
        <v>10</v>
      </c>
    </row>
    <row r="15" spans="2:8" s="4" customFormat="1" ht="40.5" customHeight="1" thickBot="1" x14ac:dyDescent="0.3">
      <c r="B15" s="17" t="s">
        <v>116</v>
      </c>
      <c r="C15" s="8">
        <v>3316478</v>
      </c>
      <c r="D15" s="8">
        <v>1908330</v>
      </c>
      <c r="E15" s="8">
        <v>1408148</v>
      </c>
      <c r="F15" s="11">
        <v>0.73789543737194296</v>
      </c>
      <c r="G15" s="7" t="s">
        <v>2</v>
      </c>
      <c r="H15" s="7" t="s">
        <v>11</v>
      </c>
    </row>
    <row r="16" spans="2:8" s="4" customFormat="1" ht="40.5" customHeight="1" thickBot="1" x14ac:dyDescent="0.3">
      <c r="B16" s="18" t="s">
        <v>117</v>
      </c>
      <c r="C16" s="10">
        <v>521381</v>
      </c>
      <c r="D16" s="10">
        <v>2148633</v>
      </c>
      <c r="E16" s="10">
        <v>-1627252</v>
      </c>
      <c r="F16" s="12">
        <v>-0.75734292454784047</v>
      </c>
      <c r="G16" s="9" t="s">
        <v>2</v>
      </c>
      <c r="H16" s="9" t="s">
        <v>12</v>
      </c>
    </row>
    <row r="17" spans="2:8" s="4" customFormat="1" ht="40.5" customHeight="1" thickBot="1" x14ac:dyDescent="0.3">
      <c r="B17" s="17" t="s">
        <v>118</v>
      </c>
      <c r="C17" s="8">
        <v>142500000</v>
      </c>
      <c r="D17" s="33">
        <v>133499000</v>
      </c>
      <c r="E17" s="33">
        <v>9001000</v>
      </c>
      <c r="F17" s="11">
        <v>6.7400000000000002E-2</v>
      </c>
      <c r="G17" s="7" t="s">
        <v>2</v>
      </c>
      <c r="H17" s="7" t="s">
        <v>13</v>
      </c>
    </row>
    <row r="18" spans="2:8" s="4" customFormat="1" ht="40.5" customHeight="1" thickBot="1" x14ac:dyDescent="0.3">
      <c r="B18" s="18" t="s">
        <v>119</v>
      </c>
      <c r="C18" s="10">
        <v>2542000</v>
      </c>
      <c r="D18" s="10">
        <v>2526000</v>
      </c>
      <c r="E18" s="34">
        <v>16000</v>
      </c>
      <c r="F18" s="12">
        <v>6.3341250989707044E-3</v>
      </c>
      <c r="G18" s="9" t="s">
        <v>2</v>
      </c>
      <c r="H18" s="9" t="s">
        <v>14</v>
      </c>
    </row>
    <row r="19" spans="2:8" s="4" customFormat="1" ht="40.5" customHeight="1" thickBot="1" x14ac:dyDescent="0.3">
      <c r="B19" s="17" t="s">
        <v>120</v>
      </c>
      <c r="C19" s="8">
        <v>5500000</v>
      </c>
      <c r="D19" s="33">
        <v>3736000</v>
      </c>
      <c r="E19" s="33">
        <v>1764000</v>
      </c>
      <c r="F19" s="11">
        <v>0.47210000000000002</v>
      </c>
      <c r="G19" s="7" t="s">
        <v>2</v>
      </c>
      <c r="H19" s="7" t="s">
        <v>15</v>
      </c>
    </row>
    <row r="20" spans="2:8" s="4" customFormat="1" ht="40.5" customHeight="1" thickBot="1" x14ac:dyDescent="0.3">
      <c r="B20" s="18" t="s">
        <v>121</v>
      </c>
      <c r="C20" s="10">
        <v>1.7</v>
      </c>
      <c r="D20" s="10">
        <v>1.4</v>
      </c>
      <c r="E20" s="10">
        <v>0.3</v>
      </c>
      <c r="F20" s="12">
        <v>0.21429999999999999</v>
      </c>
      <c r="G20" s="9" t="s">
        <v>2</v>
      </c>
      <c r="H20" s="9" t="s">
        <v>16</v>
      </c>
    </row>
    <row r="21" spans="2:8" s="4" customFormat="1" ht="26.25" customHeight="1" x14ac:dyDescent="0.25">
      <c r="B21" s="5"/>
      <c r="F21" s="13"/>
      <c r="G21" s="6"/>
      <c r="H21" s="6"/>
    </row>
  </sheetData>
  <autoFilter ref="B2:H2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7"/>
  <sheetViews>
    <sheetView showGridLines="0" zoomScale="55" zoomScaleNormal="55" workbookViewId="0">
      <pane ySplit="2" topLeftCell="A3" activePane="bottomLeft" state="frozen"/>
      <selection pane="bottomLeft" activeCell="F23" sqref="F23:G24"/>
    </sheetView>
  </sheetViews>
  <sheetFormatPr defaultRowHeight="18" x14ac:dyDescent="0.25"/>
  <cols>
    <col min="1" max="1" width="1.140625" style="14" customWidth="1"/>
    <col min="2" max="2" width="26.42578125" style="14" bestFit="1" customWidth="1"/>
    <col min="3" max="3" width="19.28515625" style="14" bestFit="1" customWidth="1"/>
    <col min="4" max="4" width="27.28515625" style="14" bestFit="1" customWidth="1"/>
    <col min="5" max="5" width="32.42578125" style="14" bestFit="1" customWidth="1"/>
    <col min="6" max="6" width="44.7109375" style="14" bestFit="1" customWidth="1"/>
    <col min="7" max="16384" width="9.140625" style="14"/>
  </cols>
  <sheetData>
    <row r="1" spans="2:6" ht="6" customHeight="1" thickBot="1" x14ac:dyDescent="0.3"/>
    <row r="2" spans="2:6" ht="48" customHeight="1" thickBot="1" x14ac:dyDescent="0.3">
      <c r="B2" s="15" t="s">
        <v>126</v>
      </c>
      <c r="C2" s="15" t="s">
        <v>127</v>
      </c>
      <c r="D2" s="15" t="s">
        <v>128</v>
      </c>
      <c r="E2" s="15" t="s">
        <v>129</v>
      </c>
      <c r="F2" s="15" t="s">
        <v>130</v>
      </c>
    </row>
    <row r="3" spans="2:6" ht="40.5" customHeight="1" thickBot="1" x14ac:dyDescent="0.3">
      <c r="B3" s="7" t="s">
        <v>17</v>
      </c>
      <c r="C3" s="8" t="s">
        <v>18</v>
      </c>
      <c r="D3" s="8" t="s">
        <v>19</v>
      </c>
      <c r="E3" s="8">
        <v>49348994</v>
      </c>
      <c r="F3" s="19" t="s">
        <v>20</v>
      </c>
    </row>
    <row r="4" spans="2:6" ht="40.5" customHeight="1" thickBot="1" x14ac:dyDescent="0.3">
      <c r="B4" s="9" t="s">
        <v>21</v>
      </c>
      <c r="C4" s="10" t="s">
        <v>22</v>
      </c>
      <c r="D4" s="10">
        <f>E3*0.5%</f>
        <v>246744.97</v>
      </c>
      <c r="E4" s="10">
        <f>E3*0.005</f>
        <v>246744.97</v>
      </c>
      <c r="F4" s="21" t="s">
        <v>23</v>
      </c>
    </row>
    <row r="5" spans="2:6" ht="40.5" customHeight="1" thickBot="1" x14ac:dyDescent="0.3">
      <c r="B5" s="7" t="s">
        <v>24</v>
      </c>
      <c r="C5" s="8" t="s">
        <v>25</v>
      </c>
      <c r="D5" s="8">
        <f>E4*75%</f>
        <v>185058.72750000001</v>
      </c>
      <c r="E5" s="8">
        <f>E4*0.75</f>
        <v>185058.72750000001</v>
      </c>
      <c r="F5" s="19" t="s">
        <v>26</v>
      </c>
    </row>
    <row r="6" spans="2:6" ht="40.5" customHeight="1" thickBot="1" x14ac:dyDescent="0.3">
      <c r="B6" s="9" t="s">
        <v>27</v>
      </c>
      <c r="C6" s="10" t="s">
        <v>28</v>
      </c>
      <c r="D6" s="10">
        <f>E4*5%</f>
        <v>12337.248500000002</v>
      </c>
      <c r="E6" s="10">
        <f>E4*0.05</f>
        <v>12337.248500000002</v>
      </c>
      <c r="F6" s="21" t="s">
        <v>29</v>
      </c>
    </row>
    <row r="7" spans="2:6" ht="36.75" thickBot="1" x14ac:dyDescent="0.3">
      <c r="B7" s="15" t="s">
        <v>131</v>
      </c>
      <c r="C7" s="15" t="s">
        <v>132</v>
      </c>
      <c r="D7" s="16">
        <f>E3*1%</f>
        <v>493489.94</v>
      </c>
      <c r="E7" s="16">
        <f>E3*0.01</f>
        <v>493489.94</v>
      </c>
      <c r="F7" s="15" t="s">
        <v>133</v>
      </c>
    </row>
  </sheetData>
  <autoFilter ref="B2:F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"/>
  <sheetViews>
    <sheetView showGridLines="0" zoomScale="55" zoomScaleNormal="55" workbookViewId="0">
      <pane ySplit="2" topLeftCell="A3" activePane="bottomLeft" state="frozen"/>
      <selection pane="bottomLeft" activeCell="C31" sqref="C31:C32"/>
    </sheetView>
  </sheetViews>
  <sheetFormatPr defaultRowHeight="18.75" x14ac:dyDescent="0.3"/>
  <cols>
    <col min="1" max="1" width="1.5703125" style="23" customWidth="1"/>
    <col min="2" max="2" width="35.140625" style="23" bestFit="1" customWidth="1"/>
    <col min="3" max="3" width="83" style="23" customWidth="1"/>
    <col min="4" max="4" width="60.28515625" style="23" bestFit="1" customWidth="1"/>
    <col min="5" max="5" width="60" style="23" bestFit="1" customWidth="1"/>
    <col min="6" max="6" width="105" style="32" customWidth="1"/>
    <col min="7" max="7" width="12" style="23" customWidth="1"/>
    <col min="8" max="16384" width="9.140625" style="23"/>
  </cols>
  <sheetData>
    <row r="1" spans="2:7" ht="9" customHeight="1" thickBot="1" x14ac:dyDescent="0.35"/>
    <row r="2" spans="2:7" ht="48" customHeight="1" thickBot="1" x14ac:dyDescent="0.35">
      <c r="B2" s="15" t="s">
        <v>134</v>
      </c>
      <c r="C2" s="15" t="s">
        <v>135</v>
      </c>
      <c r="D2" s="15" t="s">
        <v>136</v>
      </c>
      <c r="E2" s="15" t="s">
        <v>137</v>
      </c>
      <c r="F2" s="15" t="s">
        <v>138</v>
      </c>
      <c r="G2" s="15" t="s">
        <v>139</v>
      </c>
    </row>
    <row r="3" spans="2:7" ht="45" customHeight="1" thickBot="1" x14ac:dyDescent="0.35">
      <c r="B3" s="7" t="s">
        <v>113</v>
      </c>
      <c r="C3" s="8" t="s">
        <v>240</v>
      </c>
      <c r="D3" s="8" t="s">
        <v>241</v>
      </c>
      <c r="E3" s="8" t="s">
        <v>242</v>
      </c>
      <c r="F3" s="19" t="s">
        <v>243</v>
      </c>
      <c r="G3" s="20" t="s">
        <v>30</v>
      </c>
    </row>
    <row r="4" spans="2:7" ht="45" customHeight="1" thickBot="1" x14ac:dyDescent="0.35">
      <c r="B4" s="9" t="s">
        <v>110</v>
      </c>
      <c r="C4" s="10" t="s">
        <v>244</v>
      </c>
      <c r="D4" s="10" t="s">
        <v>245</v>
      </c>
      <c r="E4" s="10" t="s">
        <v>246</v>
      </c>
      <c r="F4" s="21" t="s">
        <v>247</v>
      </c>
      <c r="G4" s="22" t="s">
        <v>30</v>
      </c>
    </row>
    <row r="5" spans="2:7" ht="45" customHeight="1" thickBot="1" x14ac:dyDescent="0.35">
      <c r="B5" s="7" t="s">
        <v>248</v>
      </c>
      <c r="C5" s="8" t="s">
        <v>249</v>
      </c>
      <c r="D5" s="8" t="s">
        <v>250</v>
      </c>
      <c r="E5" s="8" t="s">
        <v>251</v>
      </c>
      <c r="F5" s="19" t="s">
        <v>252</v>
      </c>
      <c r="G5" s="20" t="s">
        <v>30</v>
      </c>
    </row>
    <row r="6" spans="2:7" ht="45" customHeight="1" thickBot="1" x14ac:dyDescent="0.35">
      <c r="B6" s="9" t="s">
        <v>253</v>
      </c>
      <c r="C6" s="10" t="s">
        <v>254</v>
      </c>
      <c r="D6" s="10" t="s">
        <v>245</v>
      </c>
      <c r="E6" s="10" t="s">
        <v>255</v>
      </c>
      <c r="F6" s="21" t="s">
        <v>256</v>
      </c>
      <c r="G6" s="22" t="s">
        <v>30</v>
      </c>
    </row>
    <row r="7" spans="2:7" ht="45" customHeight="1" thickBot="1" x14ac:dyDescent="0.35">
      <c r="B7" s="7" t="s">
        <v>257</v>
      </c>
      <c r="C7" s="8" t="s">
        <v>258</v>
      </c>
      <c r="D7" s="8" t="s">
        <v>259</v>
      </c>
      <c r="E7" s="8" t="s">
        <v>260</v>
      </c>
      <c r="F7" s="19" t="s">
        <v>261</v>
      </c>
      <c r="G7" s="20" t="s">
        <v>30</v>
      </c>
    </row>
    <row r="8" spans="2:7" ht="45" customHeight="1" thickBot="1" x14ac:dyDescent="0.35">
      <c r="B8" s="7" t="s">
        <v>262</v>
      </c>
      <c r="C8" s="8" t="s">
        <v>263</v>
      </c>
      <c r="D8" s="8" t="s">
        <v>264</v>
      </c>
      <c r="E8" s="8" t="s">
        <v>265</v>
      </c>
      <c r="F8" s="19" t="s">
        <v>266</v>
      </c>
      <c r="G8" s="20" t="s">
        <v>30</v>
      </c>
    </row>
    <row r="9" spans="2:7" ht="45" customHeight="1" thickBot="1" x14ac:dyDescent="0.35">
      <c r="B9" s="9" t="s">
        <v>267</v>
      </c>
      <c r="C9" s="10" t="s">
        <v>268</v>
      </c>
      <c r="D9" s="10" t="s">
        <v>269</v>
      </c>
      <c r="E9" s="10" t="s">
        <v>270</v>
      </c>
      <c r="F9" s="21" t="s">
        <v>271</v>
      </c>
      <c r="G9" s="22" t="s">
        <v>30</v>
      </c>
    </row>
    <row r="10" spans="2:7" ht="45" customHeight="1" thickBot="1" x14ac:dyDescent="0.35">
      <c r="B10" s="7" t="s">
        <v>272</v>
      </c>
      <c r="C10" s="8" t="s">
        <v>273</v>
      </c>
      <c r="D10" s="8" t="s">
        <v>274</v>
      </c>
      <c r="E10" s="8" t="s">
        <v>275</v>
      </c>
      <c r="F10" s="19" t="s">
        <v>276</v>
      </c>
      <c r="G10" s="20" t="s">
        <v>31</v>
      </c>
    </row>
  </sheetData>
  <autoFilter ref="B2:G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8"/>
  <sheetViews>
    <sheetView showGridLines="0" zoomScale="55" zoomScaleNormal="55" workbookViewId="0">
      <pane ySplit="2" topLeftCell="A3" activePane="bottomLeft" state="frozen"/>
      <selection pane="bottomLeft" activeCell="C26" sqref="C26"/>
    </sheetView>
  </sheetViews>
  <sheetFormatPr defaultRowHeight="18" x14ac:dyDescent="0.25"/>
  <cols>
    <col min="1" max="1" width="1.5703125" style="14" customWidth="1"/>
    <col min="2" max="2" width="47.5703125" style="14" customWidth="1"/>
    <col min="3" max="3" width="87.7109375" style="14" customWidth="1"/>
    <col min="4" max="4" width="40" style="14" customWidth="1"/>
    <col min="5" max="5" width="12" style="14" customWidth="1"/>
    <col min="6" max="6" width="61" style="14" customWidth="1"/>
    <col min="7" max="7" width="63.42578125" style="14" customWidth="1"/>
    <col min="8" max="16384" width="9.140625" style="14"/>
  </cols>
  <sheetData>
    <row r="1" spans="2:7" ht="6" customHeight="1" thickBot="1" x14ac:dyDescent="0.3"/>
    <row r="2" spans="2:7" ht="47.25" customHeight="1" thickBot="1" x14ac:dyDescent="0.3">
      <c r="B2" s="15" t="s">
        <v>140</v>
      </c>
      <c r="C2" s="15" t="s">
        <v>141</v>
      </c>
      <c r="D2" s="15" t="s">
        <v>142</v>
      </c>
      <c r="E2" s="15" t="s">
        <v>143</v>
      </c>
      <c r="F2" s="15" t="s">
        <v>144</v>
      </c>
      <c r="G2" s="15" t="s">
        <v>145</v>
      </c>
    </row>
    <row r="3" spans="2:7" ht="56.25" customHeight="1" thickBot="1" x14ac:dyDescent="0.3">
      <c r="B3" s="7" t="s">
        <v>277</v>
      </c>
      <c r="C3" s="28" t="s">
        <v>278</v>
      </c>
      <c r="D3" s="8" t="s">
        <v>279</v>
      </c>
      <c r="E3" s="8" t="s">
        <v>30</v>
      </c>
      <c r="F3" s="19" t="s">
        <v>280</v>
      </c>
      <c r="G3" s="17" t="s">
        <v>281</v>
      </c>
    </row>
    <row r="4" spans="2:7" ht="56.25" customHeight="1" thickBot="1" x14ac:dyDescent="0.3">
      <c r="B4" s="9" t="s">
        <v>282</v>
      </c>
      <c r="C4" s="29" t="s">
        <v>283</v>
      </c>
      <c r="D4" s="10" t="s">
        <v>284</v>
      </c>
      <c r="E4" s="10" t="s">
        <v>30</v>
      </c>
      <c r="F4" s="21" t="s">
        <v>285</v>
      </c>
      <c r="G4" s="18" t="s">
        <v>281</v>
      </c>
    </row>
    <row r="5" spans="2:7" ht="56.25" customHeight="1" thickBot="1" x14ac:dyDescent="0.3">
      <c r="B5" s="7" t="s">
        <v>110</v>
      </c>
      <c r="C5" s="28" t="s">
        <v>286</v>
      </c>
      <c r="D5" s="8" t="s">
        <v>259</v>
      </c>
      <c r="E5" s="8" t="s">
        <v>30</v>
      </c>
      <c r="F5" s="19" t="s">
        <v>287</v>
      </c>
      <c r="G5" s="17" t="s">
        <v>281</v>
      </c>
    </row>
    <row r="6" spans="2:7" ht="56.25" customHeight="1" thickBot="1" x14ac:dyDescent="0.3">
      <c r="B6" s="9" t="s">
        <v>113</v>
      </c>
      <c r="C6" s="29" t="s">
        <v>288</v>
      </c>
      <c r="D6" s="10" t="s">
        <v>289</v>
      </c>
      <c r="E6" s="10" t="s">
        <v>32</v>
      </c>
      <c r="F6" s="21" t="s">
        <v>290</v>
      </c>
      <c r="G6" s="18" t="s">
        <v>291</v>
      </c>
    </row>
    <row r="7" spans="2:7" ht="56.25" customHeight="1" thickBot="1" x14ac:dyDescent="0.3">
      <c r="B7" s="7" t="s">
        <v>292</v>
      </c>
      <c r="C7" s="28" t="s">
        <v>293</v>
      </c>
      <c r="D7" s="8" t="s">
        <v>294</v>
      </c>
      <c r="E7" s="8" t="s">
        <v>30</v>
      </c>
      <c r="F7" s="19" t="s">
        <v>295</v>
      </c>
      <c r="G7" s="17" t="s">
        <v>281</v>
      </c>
    </row>
    <row r="8" spans="2:7" ht="56.25" customHeight="1" thickBot="1" x14ac:dyDescent="0.3">
      <c r="B8" s="7" t="s">
        <v>267</v>
      </c>
      <c r="C8" s="28" t="s">
        <v>296</v>
      </c>
      <c r="D8" s="8" t="s">
        <v>297</v>
      </c>
      <c r="E8" s="8" t="s">
        <v>32</v>
      </c>
      <c r="F8" s="19" t="s">
        <v>298</v>
      </c>
      <c r="G8" s="17" t="s">
        <v>299</v>
      </c>
    </row>
  </sheetData>
  <autoFilter ref="B2:G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4"/>
  <sheetViews>
    <sheetView showGridLines="0" zoomScale="55" zoomScaleNormal="55" workbookViewId="0">
      <pane ySplit="2" topLeftCell="A3" activePane="bottomLeft" state="frozen"/>
      <selection pane="bottomLeft" activeCell="D30" sqref="D30"/>
    </sheetView>
  </sheetViews>
  <sheetFormatPr defaultRowHeight="18" x14ac:dyDescent="0.25"/>
  <cols>
    <col min="1" max="1" width="1.5703125" style="14" customWidth="1"/>
    <col min="2" max="2" width="12" style="14" customWidth="1"/>
    <col min="3" max="3" width="58.140625" style="14" customWidth="1"/>
    <col min="4" max="4" width="22.5703125" style="35" customWidth="1"/>
    <col min="5" max="5" width="58.140625" style="14" customWidth="1"/>
    <col min="6" max="6" width="58.140625" style="24" customWidth="1"/>
    <col min="7" max="7" width="122.7109375" style="25" customWidth="1"/>
    <col min="8" max="8" width="59.140625" style="14" bestFit="1" customWidth="1"/>
    <col min="9" max="16384" width="9.140625" style="14"/>
  </cols>
  <sheetData>
    <row r="1" spans="2:8" ht="6" customHeight="1" thickBot="1" x14ac:dyDescent="0.3"/>
    <row r="2" spans="2:8" ht="56.25" customHeight="1" thickBot="1" x14ac:dyDescent="0.3">
      <c r="B2" s="15" t="s">
        <v>33</v>
      </c>
      <c r="C2" s="15" t="s">
        <v>146</v>
      </c>
      <c r="D2" s="15" t="s">
        <v>147</v>
      </c>
      <c r="E2" s="15" t="s">
        <v>148</v>
      </c>
      <c r="F2" s="15" t="s">
        <v>149</v>
      </c>
      <c r="G2" s="15" t="s">
        <v>150</v>
      </c>
      <c r="H2" s="15" t="s">
        <v>151</v>
      </c>
    </row>
    <row r="3" spans="2:8" ht="56.25" customHeight="1" thickBot="1" x14ac:dyDescent="0.3">
      <c r="B3" s="7" t="s">
        <v>34</v>
      </c>
      <c r="C3" s="8" t="s">
        <v>152</v>
      </c>
      <c r="D3" s="26" t="s">
        <v>0</v>
      </c>
      <c r="E3" s="8" t="s">
        <v>153</v>
      </c>
      <c r="F3" s="11" t="s">
        <v>35</v>
      </c>
      <c r="G3" s="7" t="s">
        <v>154</v>
      </c>
      <c r="H3" s="7" t="s">
        <v>155</v>
      </c>
    </row>
    <row r="4" spans="2:8" ht="56.25" customHeight="1" thickBot="1" x14ac:dyDescent="0.3">
      <c r="B4" s="9" t="s">
        <v>36</v>
      </c>
      <c r="C4" s="10" t="s">
        <v>37</v>
      </c>
      <c r="D4" s="27" t="s">
        <v>0</v>
      </c>
      <c r="E4" s="10" t="s">
        <v>156</v>
      </c>
      <c r="F4" s="12" t="s">
        <v>35</v>
      </c>
      <c r="G4" s="9" t="s">
        <v>157</v>
      </c>
      <c r="H4" s="9" t="s">
        <v>158</v>
      </c>
    </row>
    <row r="5" spans="2:8" ht="56.25" customHeight="1" thickBot="1" x14ac:dyDescent="0.3">
      <c r="B5" s="7" t="s">
        <v>38</v>
      </c>
      <c r="C5" s="8" t="s">
        <v>159</v>
      </c>
      <c r="D5" s="26" t="s">
        <v>0</v>
      </c>
      <c r="E5" s="8" t="s">
        <v>160</v>
      </c>
      <c r="F5" s="11" t="s">
        <v>35</v>
      </c>
      <c r="G5" s="7" t="s">
        <v>157</v>
      </c>
      <c r="H5" s="7" t="s">
        <v>161</v>
      </c>
    </row>
    <row r="6" spans="2:8" ht="56.25" customHeight="1" thickBot="1" x14ac:dyDescent="0.3">
      <c r="B6" s="9" t="s">
        <v>39</v>
      </c>
      <c r="C6" s="10" t="s">
        <v>162</v>
      </c>
      <c r="D6" s="27" t="s">
        <v>0</v>
      </c>
      <c r="E6" s="10" t="s">
        <v>163</v>
      </c>
      <c r="F6" s="12" t="s">
        <v>35</v>
      </c>
      <c r="G6" s="9" t="s">
        <v>164</v>
      </c>
      <c r="H6" s="9" t="s">
        <v>165</v>
      </c>
    </row>
    <row r="7" spans="2:8" ht="56.25" customHeight="1" thickBot="1" x14ac:dyDescent="0.3">
      <c r="B7" s="7" t="s">
        <v>40</v>
      </c>
      <c r="C7" s="8" t="s">
        <v>166</v>
      </c>
      <c r="D7" s="26" t="s">
        <v>0</v>
      </c>
      <c r="E7" s="8" t="s">
        <v>167</v>
      </c>
      <c r="F7" s="11" t="s">
        <v>35</v>
      </c>
      <c r="G7" s="7" t="s">
        <v>157</v>
      </c>
      <c r="H7" s="7" t="s">
        <v>168</v>
      </c>
    </row>
    <row r="8" spans="2:8" ht="56.25" customHeight="1" thickBot="1" x14ac:dyDescent="0.3">
      <c r="B8" s="7" t="s">
        <v>41</v>
      </c>
      <c r="C8" s="8" t="s">
        <v>169</v>
      </c>
      <c r="D8" s="26" t="s">
        <v>0</v>
      </c>
      <c r="E8" s="8" t="s">
        <v>167</v>
      </c>
      <c r="F8" s="11" t="s">
        <v>35</v>
      </c>
      <c r="G8" s="7" t="s">
        <v>157</v>
      </c>
      <c r="H8" s="7" t="s">
        <v>170</v>
      </c>
    </row>
    <row r="9" spans="2:8" ht="56.25" customHeight="1" thickBot="1" x14ac:dyDescent="0.3">
      <c r="B9" s="9" t="s">
        <v>42</v>
      </c>
      <c r="C9" s="10" t="s">
        <v>171</v>
      </c>
      <c r="D9" s="27" t="s">
        <v>0</v>
      </c>
      <c r="E9" s="10" t="s">
        <v>172</v>
      </c>
      <c r="F9" s="12" t="s">
        <v>35</v>
      </c>
      <c r="G9" s="9" t="s">
        <v>173</v>
      </c>
      <c r="H9" s="9" t="s">
        <v>174</v>
      </c>
    </row>
    <row r="10" spans="2:8" ht="56.25" customHeight="1" thickBot="1" x14ac:dyDescent="0.3">
      <c r="B10" s="7" t="s">
        <v>43</v>
      </c>
      <c r="C10" s="8" t="s">
        <v>44</v>
      </c>
      <c r="D10" s="26" t="s">
        <v>0</v>
      </c>
      <c r="E10" s="8" t="s">
        <v>175</v>
      </c>
      <c r="F10" s="11" t="s">
        <v>35</v>
      </c>
      <c r="G10" s="7" t="s">
        <v>176</v>
      </c>
      <c r="H10" s="7" t="s">
        <v>177</v>
      </c>
    </row>
    <row r="11" spans="2:8" ht="56.25" customHeight="1" thickBot="1" x14ac:dyDescent="0.3">
      <c r="B11" s="9" t="s">
        <v>45</v>
      </c>
      <c r="C11" s="10" t="s">
        <v>46</v>
      </c>
      <c r="D11" s="27" t="s">
        <v>0</v>
      </c>
      <c r="E11" s="10" t="s">
        <v>178</v>
      </c>
      <c r="F11" s="12" t="s">
        <v>35</v>
      </c>
      <c r="G11" s="9" t="s">
        <v>179</v>
      </c>
      <c r="H11" s="9" t="s">
        <v>180</v>
      </c>
    </row>
    <row r="12" spans="2:8" ht="56.25" customHeight="1" thickBot="1" x14ac:dyDescent="0.3">
      <c r="B12" s="7" t="s">
        <v>47</v>
      </c>
      <c r="C12" s="8" t="s">
        <v>181</v>
      </c>
      <c r="D12" s="26" t="s">
        <v>0</v>
      </c>
      <c r="E12" s="8" t="s">
        <v>182</v>
      </c>
      <c r="F12" s="11" t="s">
        <v>35</v>
      </c>
      <c r="G12" s="7" t="s">
        <v>157</v>
      </c>
      <c r="H12" s="7" t="s">
        <v>183</v>
      </c>
    </row>
    <row r="13" spans="2:8" ht="56.25" customHeight="1" thickBot="1" x14ac:dyDescent="0.3">
      <c r="B13" s="9" t="s">
        <v>48</v>
      </c>
      <c r="C13" s="10" t="s">
        <v>184</v>
      </c>
      <c r="D13" s="27" t="s">
        <v>0</v>
      </c>
      <c r="E13" s="10" t="s">
        <v>185</v>
      </c>
      <c r="F13" s="12" t="s">
        <v>35</v>
      </c>
      <c r="G13" s="9" t="s">
        <v>154</v>
      </c>
      <c r="H13" s="9" t="s">
        <v>186</v>
      </c>
    </row>
    <row r="14" spans="2:8" ht="56.25" customHeight="1" thickBot="1" x14ac:dyDescent="0.3">
      <c r="B14" s="7" t="s">
        <v>49</v>
      </c>
      <c r="C14" s="8" t="s">
        <v>187</v>
      </c>
      <c r="D14" s="26" t="s">
        <v>0</v>
      </c>
      <c r="E14" s="8" t="s">
        <v>188</v>
      </c>
      <c r="F14" s="11" t="s">
        <v>35</v>
      </c>
      <c r="G14" s="7" t="s">
        <v>164</v>
      </c>
      <c r="H14" s="7" t="s">
        <v>189</v>
      </c>
    </row>
  </sheetData>
  <autoFilter ref="B2:H1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29"/>
  <sheetViews>
    <sheetView showGridLines="0" zoomScale="55" zoomScaleNormal="55" workbookViewId="0">
      <pane ySplit="2" topLeftCell="A9" activePane="bottomLeft" state="frozen"/>
      <selection pane="bottomLeft" activeCell="L10" sqref="L10"/>
    </sheetView>
  </sheetViews>
  <sheetFormatPr defaultRowHeight="14.25" x14ac:dyDescent="0.2"/>
  <cols>
    <col min="1" max="1" width="2.42578125" style="1" customWidth="1"/>
    <col min="2" max="2" width="18.85546875" style="13" bestFit="1" customWidth="1"/>
    <col min="3" max="3" width="48.42578125" style="1" customWidth="1"/>
    <col min="4" max="4" width="168.140625" style="1" customWidth="1"/>
    <col min="5" max="5" width="38.140625" style="13" customWidth="1"/>
    <col min="6" max="16384" width="9.140625" style="1"/>
  </cols>
  <sheetData>
    <row r="1" spans="2:5" ht="5.25" customHeight="1" thickBot="1" x14ac:dyDescent="0.25"/>
    <row r="2" spans="2:5" ht="48" customHeight="1" thickBot="1" x14ac:dyDescent="0.25">
      <c r="B2" s="15" t="s">
        <v>190</v>
      </c>
      <c r="C2" s="15" t="s">
        <v>191</v>
      </c>
      <c r="D2" s="15" t="s">
        <v>192</v>
      </c>
      <c r="E2" s="15" t="s">
        <v>193</v>
      </c>
    </row>
    <row r="3" spans="2:5" ht="45.75" customHeight="1" thickBot="1" x14ac:dyDescent="0.25">
      <c r="B3" s="30" t="s">
        <v>50</v>
      </c>
      <c r="C3" s="8" t="s">
        <v>194</v>
      </c>
      <c r="D3" s="28" t="s">
        <v>195</v>
      </c>
      <c r="E3" s="26" t="s">
        <v>196</v>
      </c>
    </row>
    <row r="4" spans="2:5" ht="45.75" customHeight="1" thickBot="1" x14ac:dyDescent="0.25">
      <c r="B4" s="31" t="s">
        <v>51</v>
      </c>
      <c r="C4" s="29" t="s">
        <v>52</v>
      </c>
      <c r="D4" s="29" t="s">
        <v>197</v>
      </c>
      <c r="E4" s="27" t="s">
        <v>196</v>
      </c>
    </row>
    <row r="5" spans="2:5" ht="45.75" customHeight="1" thickBot="1" x14ac:dyDescent="0.25">
      <c r="B5" s="30" t="s">
        <v>53</v>
      </c>
      <c r="C5" s="28" t="s">
        <v>54</v>
      </c>
      <c r="D5" s="28" t="s">
        <v>198</v>
      </c>
      <c r="E5" s="26" t="s">
        <v>196</v>
      </c>
    </row>
    <row r="6" spans="2:5" ht="45.75" customHeight="1" thickBot="1" x14ac:dyDescent="0.25">
      <c r="B6" s="31" t="s">
        <v>55</v>
      </c>
      <c r="C6" s="29" t="s">
        <v>56</v>
      </c>
      <c r="D6" s="29" t="s">
        <v>199</v>
      </c>
      <c r="E6" s="27" t="s">
        <v>196</v>
      </c>
    </row>
    <row r="7" spans="2:5" ht="45.75" customHeight="1" thickBot="1" x14ac:dyDescent="0.25">
      <c r="B7" s="30" t="s">
        <v>57</v>
      </c>
      <c r="C7" s="28" t="s">
        <v>58</v>
      </c>
      <c r="D7" s="28" t="s">
        <v>200</v>
      </c>
      <c r="E7" s="26" t="s">
        <v>196</v>
      </c>
    </row>
    <row r="8" spans="2:5" ht="45.75" customHeight="1" thickBot="1" x14ac:dyDescent="0.25">
      <c r="B8" s="30" t="s">
        <v>59</v>
      </c>
      <c r="C8" s="28" t="s">
        <v>60</v>
      </c>
      <c r="D8" s="28" t="s">
        <v>201</v>
      </c>
      <c r="E8" s="26" t="s">
        <v>196</v>
      </c>
    </row>
    <row r="9" spans="2:5" ht="45.75" customHeight="1" thickBot="1" x14ac:dyDescent="0.25">
      <c r="B9" s="31" t="s">
        <v>61</v>
      </c>
      <c r="C9" s="29" t="s">
        <v>62</v>
      </c>
      <c r="D9" s="29" t="s">
        <v>202</v>
      </c>
      <c r="E9" s="27" t="s">
        <v>196</v>
      </c>
    </row>
    <row r="10" spans="2:5" ht="45.75" customHeight="1" thickBot="1" x14ac:dyDescent="0.25">
      <c r="B10" s="30" t="s">
        <v>63</v>
      </c>
      <c r="C10" s="28" t="s">
        <v>64</v>
      </c>
      <c r="D10" s="28" t="s">
        <v>203</v>
      </c>
      <c r="E10" s="26" t="s">
        <v>196</v>
      </c>
    </row>
    <row r="11" spans="2:5" ht="45.75" customHeight="1" thickBot="1" x14ac:dyDescent="0.25">
      <c r="B11" s="31" t="s">
        <v>65</v>
      </c>
      <c r="C11" s="29" t="s">
        <v>66</v>
      </c>
      <c r="D11" s="29" t="s">
        <v>204</v>
      </c>
      <c r="E11" s="27" t="s">
        <v>196</v>
      </c>
    </row>
    <row r="12" spans="2:5" ht="45.75" customHeight="1" thickBot="1" x14ac:dyDescent="0.25">
      <c r="B12" s="31" t="s">
        <v>67</v>
      </c>
      <c r="C12" s="29" t="s">
        <v>68</v>
      </c>
      <c r="D12" s="29" t="s">
        <v>205</v>
      </c>
      <c r="E12" s="27" t="s">
        <v>196</v>
      </c>
    </row>
    <row r="13" spans="2:5" ht="45.75" customHeight="1" thickBot="1" x14ac:dyDescent="0.25">
      <c r="B13" s="30" t="s">
        <v>69</v>
      </c>
      <c r="C13" s="28" t="s">
        <v>70</v>
      </c>
      <c r="D13" s="28" t="s">
        <v>206</v>
      </c>
      <c r="E13" s="26" t="s">
        <v>196</v>
      </c>
    </row>
    <row r="14" spans="2:5" ht="45.75" customHeight="1" thickBot="1" x14ac:dyDescent="0.25">
      <c r="B14" s="31" t="s">
        <v>71</v>
      </c>
      <c r="C14" s="29" t="s">
        <v>72</v>
      </c>
      <c r="D14" s="29" t="s">
        <v>207</v>
      </c>
      <c r="E14" s="27" t="s">
        <v>196</v>
      </c>
    </row>
    <row r="15" spans="2:5" ht="45.75" customHeight="1" thickBot="1" x14ac:dyDescent="0.25">
      <c r="B15" s="30" t="s">
        <v>73</v>
      </c>
      <c r="C15" s="28" t="s">
        <v>74</v>
      </c>
      <c r="D15" s="28" t="s">
        <v>208</v>
      </c>
      <c r="E15" s="26" t="s">
        <v>196</v>
      </c>
    </row>
    <row r="16" spans="2:5" ht="45.75" customHeight="1" thickBot="1" x14ac:dyDescent="0.25">
      <c r="B16" s="31" t="s">
        <v>75</v>
      </c>
      <c r="C16" s="29" t="s">
        <v>76</v>
      </c>
      <c r="D16" s="29" t="s">
        <v>209</v>
      </c>
      <c r="E16" s="27" t="s">
        <v>196</v>
      </c>
    </row>
    <row r="17" spans="2:5" ht="45.75" customHeight="1" thickBot="1" x14ac:dyDescent="0.25">
      <c r="B17" s="30" t="s">
        <v>77</v>
      </c>
      <c r="C17" s="28" t="s">
        <v>78</v>
      </c>
      <c r="D17" s="28" t="s">
        <v>210</v>
      </c>
      <c r="E17" s="26" t="s">
        <v>196</v>
      </c>
    </row>
    <row r="18" spans="2:5" ht="45.75" customHeight="1" thickBot="1" x14ac:dyDescent="0.25">
      <c r="B18" s="30" t="s">
        <v>79</v>
      </c>
      <c r="C18" s="28" t="s">
        <v>80</v>
      </c>
      <c r="D18" s="28" t="s">
        <v>211</v>
      </c>
      <c r="E18" s="26" t="s">
        <v>196</v>
      </c>
    </row>
    <row r="19" spans="2:5" ht="45.75" customHeight="1" thickBot="1" x14ac:dyDescent="0.25">
      <c r="B19" s="31" t="s">
        <v>81</v>
      </c>
      <c r="C19" s="29" t="s">
        <v>82</v>
      </c>
      <c r="D19" s="29" t="s">
        <v>212</v>
      </c>
      <c r="E19" s="27" t="s">
        <v>196</v>
      </c>
    </row>
    <row r="20" spans="2:5" ht="45.75" customHeight="1" thickBot="1" x14ac:dyDescent="0.25">
      <c r="B20" s="30" t="s">
        <v>83</v>
      </c>
      <c r="C20" s="28" t="s">
        <v>84</v>
      </c>
      <c r="D20" s="28" t="s">
        <v>213</v>
      </c>
      <c r="E20" s="26" t="s">
        <v>196</v>
      </c>
    </row>
    <row r="21" spans="2:5" ht="45.75" customHeight="1" thickBot="1" x14ac:dyDescent="0.25">
      <c r="B21" s="31" t="s">
        <v>85</v>
      </c>
      <c r="C21" s="29" t="s">
        <v>86</v>
      </c>
      <c r="D21" s="29" t="s">
        <v>214</v>
      </c>
      <c r="E21" s="27" t="s">
        <v>196</v>
      </c>
    </row>
    <row r="22" spans="2:5" ht="45.75" customHeight="1" thickBot="1" x14ac:dyDescent="0.25">
      <c r="B22" s="31" t="s">
        <v>87</v>
      </c>
      <c r="C22" s="29" t="s">
        <v>88</v>
      </c>
      <c r="D22" s="29" t="s">
        <v>215</v>
      </c>
      <c r="E22" s="27" t="s">
        <v>196</v>
      </c>
    </row>
    <row r="23" spans="2:5" ht="45.75" customHeight="1" thickBot="1" x14ac:dyDescent="0.25">
      <c r="B23" s="30" t="s">
        <v>89</v>
      </c>
      <c r="C23" s="28" t="s">
        <v>90</v>
      </c>
      <c r="D23" s="28" t="s">
        <v>216</v>
      </c>
      <c r="E23" s="26" t="s">
        <v>196</v>
      </c>
    </row>
    <row r="24" spans="2:5" ht="45.75" customHeight="1" thickBot="1" x14ac:dyDescent="0.25">
      <c r="B24" s="31" t="s">
        <v>91</v>
      </c>
      <c r="C24" s="29" t="s">
        <v>92</v>
      </c>
      <c r="D24" s="29" t="s">
        <v>217</v>
      </c>
      <c r="E24" s="27" t="s">
        <v>196</v>
      </c>
    </row>
    <row r="25" spans="2:5" ht="45.75" customHeight="1" thickBot="1" x14ac:dyDescent="0.25">
      <c r="B25" s="30" t="s">
        <v>93</v>
      </c>
      <c r="C25" s="28" t="s">
        <v>94</v>
      </c>
      <c r="D25" s="28" t="s">
        <v>218</v>
      </c>
      <c r="E25" s="26" t="s">
        <v>196</v>
      </c>
    </row>
    <row r="26" spans="2:5" ht="45.75" customHeight="1" thickBot="1" x14ac:dyDescent="0.25">
      <c r="B26" s="31" t="s">
        <v>95</v>
      </c>
      <c r="C26" s="29" t="s">
        <v>96</v>
      </c>
      <c r="D26" s="29" t="s">
        <v>219</v>
      </c>
      <c r="E26" s="27" t="s">
        <v>196</v>
      </c>
    </row>
    <row r="27" spans="2:5" ht="45.75" customHeight="1" thickBot="1" x14ac:dyDescent="0.25">
      <c r="B27" s="30" t="s">
        <v>97</v>
      </c>
      <c r="C27" s="28" t="s">
        <v>98</v>
      </c>
      <c r="D27" s="28" t="s">
        <v>220</v>
      </c>
      <c r="E27" s="26" t="s">
        <v>196</v>
      </c>
    </row>
    <row r="28" spans="2:5" ht="45.75" customHeight="1" thickBot="1" x14ac:dyDescent="0.25">
      <c r="B28" s="31" t="s">
        <v>99</v>
      </c>
      <c r="C28" s="29" t="s">
        <v>100</v>
      </c>
      <c r="D28" s="29" t="s">
        <v>221</v>
      </c>
      <c r="E28" s="27" t="s">
        <v>196</v>
      </c>
    </row>
    <row r="29" spans="2:5" ht="45.75" customHeight="1" thickBot="1" x14ac:dyDescent="0.25">
      <c r="B29" s="30" t="s">
        <v>101</v>
      </c>
      <c r="C29" s="28" t="s">
        <v>102</v>
      </c>
      <c r="D29" s="28" t="s">
        <v>222</v>
      </c>
      <c r="E29" s="26" t="s">
        <v>196</v>
      </c>
    </row>
  </sheetData>
  <autoFilter ref="B2:E2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D7"/>
  <sheetViews>
    <sheetView showGridLines="0" zoomScale="70" zoomScaleNormal="70" workbookViewId="0">
      <pane ySplit="2" topLeftCell="A3" activePane="bottomLeft" state="frozen"/>
      <selection pane="bottomLeft" activeCell="C20" sqref="C20:C21"/>
    </sheetView>
  </sheetViews>
  <sheetFormatPr defaultRowHeight="18" x14ac:dyDescent="0.25"/>
  <cols>
    <col min="1" max="1" width="1.5703125" style="14" customWidth="1"/>
    <col min="2" max="2" width="35.42578125" style="14" bestFit="1" customWidth="1"/>
    <col min="3" max="3" width="47" style="14" customWidth="1"/>
    <col min="4" max="4" width="97.42578125" style="14" bestFit="1" customWidth="1"/>
    <col min="5" max="16384" width="9.140625" style="14"/>
  </cols>
  <sheetData>
    <row r="1" spans="2:4" ht="5.25" customHeight="1" thickBot="1" x14ac:dyDescent="0.3"/>
    <row r="2" spans="2:4" ht="34.5" customHeight="1" thickBot="1" x14ac:dyDescent="0.3">
      <c r="B2" s="15" t="s">
        <v>126</v>
      </c>
      <c r="C2" s="15" t="s">
        <v>223</v>
      </c>
      <c r="D2" s="15" t="s">
        <v>224</v>
      </c>
    </row>
    <row r="3" spans="2:4" ht="45" customHeight="1" thickBot="1" x14ac:dyDescent="0.3">
      <c r="B3" s="7" t="s">
        <v>225</v>
      </c>
      <c r="C3" s="8" t="s">
        <v>226</v>
      </c>
      <c r="D3" s="8" t="s">
        <v>227</v>
      </c>
    </row>
    <row r="4" spans="2:4" ht="45" customHeight="1" thickBot="1" x14ac:dyDescent="0.3">
      <c r="B4" s="9" t="s">
        <v>228</v>
      </c>
      <c r="C4" s="10" t="s">
        <v>229</v>
      </c>
      <c r="D4" s="10" t="s">
        <v>230</v>
      </c>
    </row>
    <row r="5" spans="2:4" ht="45" customHeight="1" thickBot="1" x14ac:dyDescent="0.3">
      <c r="B5" s="9" t="s">
        <v>231</v>
      </c>
      <c r="C5" s="10" t="s">
        <v>232</v>
      </c>
      <c r="D5" s="10" t="s">
        <v>233</v>
      </c>
    </row>
    <row r="6" spans="2:4" ht="45" customHeight="1" thickBot="1" x14ac:dyDescent="0.3">
      <c r="B6" s="7" t="s">
        <v>234</v>
      </c>
      <c r="C6" s="8" t="s">
        <v>235</v>
      </c>
      <c r="D6" s="8" t="s">
        <v>236</v>
      </c>
    </row>
    <row r="7" spans="2:4" ht="45" customHeight="1" thickBot="1" x14ac:dyDescent="0.3">
      <c r="B7" s="7" t="s">
        <v>237</v>
      </c>
      <c r="C7" s="8" t="s">
        <v>238</v>
      </c>
      <c r="D7" s="8" t="s">
        <v>239</v>
      </c>
    </row>
  </sheetData>
  <autoFilter ref="B2:D7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Saldos 2025-2024</vt:lpstr>
      <vt:lpstr>Materialidade</vt:lpstr>
      <vt:lpstr>Matriz de riscos</vt:lpstr>
      <vt:lpstr>Programas de auditoria</vt:lpstr>
      <vt:lpstr>Fontes</vt:lpstr>
      <vt:lpstr>Cobertura NBC TA</vt:lpstr>
      <vt:lpstr>Amostragem 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Kaique Moreira Lopes</cp:lastModifiedBy>
  <dcterms:created xsi:type="dcterms:W3CDTF">2026-10-23T13:51:47Z</dcterms:created>
  <dcterms:modified xsi:type="dcterms:W3CDTF">2026-10-23T14:54:24Z</dcterms:modified>
</cp:coreProperties>
</file>